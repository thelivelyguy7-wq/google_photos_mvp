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1" activeTab="1" autoFilterDateGrouping="1"/>
  </bookViews>
  <sheets>
    <sheet xmlns:r="http://schemas.openxmlformats.org/officeDocument/2006/relationships" name="Read Me" sheetId="1" state="visible" r:id="rId1"/>
    <sheet xmlns:r="http://schemas.openxmlformats.org/officeDocument/2006/relationships" name="Real vs Simulated" sheetId="2" state="visible" r:id="rId2"/>
    <sheet xmlns:r="http://schemas.openxmlformats.org/officeDocument/2006/relationships" name="Participants" sheetId="3" state="visible" r:id="rId3"/>
    <sheet xmlns:r="http://schemas.openxmlformats.org/officeDocument/2006/relationships" name="Tasks" sheetId="4" state="visible" r:id="rId4"/>
    <sheet xmlns:r="http://schemas.openxmlformats.org/officeDocument/2006/relationships" name="Sessions" sheetId="5" state="visible" r:id="rId5"/>
    <sheet xmlns:r="http://schemas.openxmlformats.org/officeDocument/2006/relationships" name="Metrics" sheetId="6" state="visible" r:id="rId6"/>
    <sheet xmlns:r="http://schemas.openxmlformats.org/officeDocument/2006/relationships" name="Learnings" sheetId="7" state="visible" r:id="rId7"/>
    <sheet xmlns:r="http://schemas.openxmlformats.org/officeDocument/2006/relationships" name="V1 to V2" sheetId="8" state="visible" r:id="rId8"/>
    <sheet xmlns:r="http://schemas.openxmlformats.org/officeDocument/2006/relationships" name="V2 Changes" sheetId="9" state="visible" r:id="rId9"/>
    <sheet xmlns:r="http://schemas.openxmlformats.org/officeDocument/2006/relationships" name="V2 Sessions" sheetId="10" state="visible" r:id="rId10"/>
    <sheet xmlns:r="http://schemas.openxmlformats.org/officeDocument/2006/relationships" name="V2 Participants" sheetId="11" state="visible" r:id="rId11"/>
    <sheet xmlns:r="http://schemas.openxmlformats.org/officeDocument/2006/relationships" name="V1 vs V2 Metrics" sheetId="12" state="visible" r:id="rId12"/>
    <sheet xmlns:r="http://schemas.openxmlformats.org/officeDocument/2006/relationships" name="V2 Learnings and Next" sheetId="13" state="visible" r:id="rId13"/>
  </sheets>
  <definedNames/>
  <calcPr calcId="191029" fullCalcOnLoad="1"/>
</workbook>
</file>

<file path=xl/styles.xml><?xml version="1.0" encoding="utf-8"?>
<styleSheet xmlns="http://schemas.openxmlformats.org/spreadsheetml/2006/main">
  <numFmts count="4">
    <numFmt numFmtId="164" formatCode="0.0"/>
    <numFmt numFmtId="165" formatCode="\+0%;\-0%;0%"/>
    <numFmt numFmtId="166" formatCode="\+0;\-0;0"/>
    <numFmt numFmtId="167" formatCode="\+0.0;\-0.0;0"/>
  </numFmts>
  <fonts count="16">
    <font>
      <name val="Calibri"/>
      <family val="2"/>
      <color theme="1"/>
      <sz val="11"/>
      <scheme val="minor"/>
    </font>
    <font>
      <name val="Arial"/>
      <b val="1"/>
      <color rgb="FF1B1F27"/>
      <sz val="14"/>
    </font>
    <font>
      <name val="Arial"/>
      <b val="1"/>
      <color rgb="FFC2410C"/>
      <sz val="11"/>
    </font>
    <font>
      <name val="Arial"/>
      <sz val="10"/>
    </font>
    <font>
      <name val="Arial"/>
      <b val="1"/>
      <sz val="10"/>
    </font>
    <font>
      <name val="Arial"/>
      <b val="1"/>
      <color rgb="FFC2410C"/>
      <sz val="10"/>
    </font>
    <font>
      <name val="Arial"/>
      <b val="1"/>
      <color rgb="FFFFFFFF"/>
      <sz val="10"/>
    </font>
    <font>
      <name val="Arial"/>
      <i val="1"/>
      <color rgb="FF8A90A0"/>
      <sz val="9"/>
    </font>
    <font>
      <name val="Arial"/>
      <b val="1"/>
      <color rgb="FFC2410C"/>
      <sz val="10"/>
    </font>
    <font>
      <name val="Arial"/>
      <b val="1"/>
      <color rgb="FFFFFFFF"/>
      <sz val="10"/>
    </font>
    <font>
      <name val="Arial"/>
      <b val="1"/>
      <color rgb="FFC2410C"/>
      <sz val="11"/>
    </font>
    <font>
      <name val="Arial"/>
      <i val="1"/>
      <color rgb="FF8A90A0"/>
      <sz val="9"/>
    </font>
    <font>
      <name val="Arial"/>
      <b val="1"/>
      <color rgb="00C2410C"/>
      <sz val="10"/>
    </font>
    <font>
      <name val="Arial"/>
      <b val="1"/>
      <color rgb="00C2410C"/>
    </font>
    <font>
      <name val="Arial"/>
      <b val="1"/>
      <color rgb="001B1F27"/>
      <sz val="12"/>
    </font>
    <font>
      <name val="Arial"/>
      <b val="1"/>
      <color rgb="00FFFFFF"/>
      <sz val="10"/>
    </font>
  </fonts>
  <fills count="7">
    <fill>
      <patternFill/>
    </fill>
    <fill>
      <patternFill patternType="gray125"/>
    </fill>
    <fill>
      <patternFill patternType="solid">
        <fgColor rgb="FF1B1F27"/>
      </patternFill>
    </fill>
    <fill>
      <patternFill patternType="solid">
        <fgColor theme="0"/>
        <bgColor indexed="64"/>
      </patternFill>
    </fill>
    <fill>
      <patternFill patternType="solid">
        <fgColor rgb="FF1B1F27"/>
      </patternFill>
    </fill>
    <fill>
      <patternFill patternType="solid">
        <fgColor rgb="00FDE7DA"/>
      </patternFill>
    </fill>
    <fill>
      <patternFill patternType="solid">
        <fgColor rgb="001B1F27"/>
      </patternFill>
    </fill>
  </fills>
  <borders count="4">
    <border>
      <left/>
      <right/>
      <top/>
      <bottom/>
      <diagonal/>
    </border>
    <border>
      <left/>
      <right/>
      <top/>
      <bottom style="thin">
        <color rgb="FFD9DCE3"/>
      </bottom>
      <diagonal/>
    </border>
    <border>
      <left/>
      <right/>
      <top/>
      <bottom style="thin">
        <color rgb="FFD9DCE3"/>
      </bottom>
      <diagonal/>
    </border>
    <border>
      <bottom style="thin">
        <color rgb="00D9DCE3"/>
      </bottom>
    </border>
  </borders>
  <cellStyleXfs count="1">
    <xf numFmtId="0" fontId="0" fillId="0" borderId="0"/>
  </cellStyleXfs>
  <cellXfs count="4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2" borderId="0" applyAlignment="1" pivotButton="0" quotePrefix="0" xfId="0">
      <alignment vertical="center" wrapText="1"/>
    </xf>
    <xf numFmtId="0" fontId="3" fillId="0" borderId="1" applyAlignment="1" pivotButton="0" quotePrefix="0" xfId="0">
      <alignment vertical="top" wrapText="1"/>
    </xf>
    <xf numFmtId="0" fontId="6" fillId="2" borderId="0" pivotButton="0" quotePrefix="0" xfId="0"/>
    <xf numFmtId="0" fontId="4" fillId="0" borderId="0" pivotButton="0" quotePrefix="0" xfId="0"/>
    <xf numFmtId="9" fontId="3" fillId="0" borderId="0" pivotButton="0" quotePrefix="0" xfId="0"/>
    <xf numFmtId="0" fontId="3" fillId="0" borderId="0" pivotButton="0" quotePrefix="0" xfId="0"/>
    <xf numFmtId="1" fontId="3" fillId="0" borderId="0" pivotButton="0" quotePrefix="0" xfId="0"/>
    <xf numFmtId="164" fontId="3" fillId="0" borderId="0" pivotButton="0" quotePrefix="0" xfId="0"/>
    <xf numFmtId="0" fontId="7" fillId="0" borderId="0" pivotButton="0" quotePrefix="0" xfId="0"/>
    <xf numFmtId="0" fontId="3" fillId="3" borderId="1" applyAlignment="1" pivotButton="0" quotePrefix="0" xfId="0">
      <alignment vertical="top" wrapText="1"/>
    </xf>
    <xf numFmtId="0" fontId="9" fillId="4" borderId="0" applyAlignment="1" pivotButton="0" quotePrefix="0" xfId="0">
      <alignment vertical="center" wrapText="1"/>
    </xf>
    <xf numFmtId="0" fontId="3" fillId="0" borderId="2" applyAlignment="1" pivotButton="0" quotePrefix="0" xfId="0">
      <alignment vertical="top" wrapText="1"/>
    </xf>
    <xf numFmtId="0" fontId="9" fillId="4" borderId="0" pivotButton="0" quotePrefix="0" xfId="0"/>
    <xf numFmtId="165" fontId="3" fillId="0" borderId="0" pivotButton="0" quotePrefix="0" xfId="0"/>
    <xf numFmtId="166" fontId="3" fillId="0" borderId="0" pivotButton="0" quotePrefix="0" xfId="0"/>
    <xf numFmtId="167" fontId="3" fillId="0" borderId="0" pivotButton="0" quotePrefix="0" xfId="0"/>
    <xf numFmtId="0" fontId="11" fillId="0" borderId="0" pivotButton="0" quotePrefix="0" xfId="0"/>
    <xf numFmtId="0" fontId="5" fillId="3" borderId="0" pivotButton="0" quotePrefix="0" xfId="0"/>
    <xf numFmtId="0" fontId="0" fillId="0" borderId="0" pivotButton="0" quotePrefix="0" xfId="0"/>
    <xf numFmtId="0" fontId="2" fillId="3" borderId="0" pivotButton="0" quotePrefix="0" xfId="0"/>
    <xf numFmtId="0" fontId="2" fillId="0" borderId="0" pivotButton="0" quotePrefix="0" xfId="0"/>
    <xf numFmtId="0" fontId="0" fillId="3" borderId="0" pivotButton="0" quotePrefix="0" xfId="0"/>
    <xf numFmtId="0" fontId="3" fillId="3" borderId="2" applyAlignment="1" pivotButton="0" quotePrefix="0" xfId="0">
      <alignment vertical="top" wrapText="1"/>
    </xf>
    <xf numFmtId="0" fontId="6" fillId="4" borderId="0" applyAlignment="1" pivotButton="0" quotePrefix="0" xfId="0">
      <alignment vertical="center" wrapText="1"/>
    </xf>
    <xf numFmtId="0" fontId="8" fillId="3" borderId="0" pivotButton="0" quotePrefix="0" xfId="0"/>
    <xf numFmtId="0" fontId="10" fillId="3" borderId="0" pivotButton="0" quotePrefix="0" xfId="0"/>
    <xf numFmtId="0" fontId="13" fillId="0" borderId="0" applyAlignment="1" pivotButton="0" quotePrefix="0" xfId="0">
      <alignment vertical="top" wrapText="1"/>
    </xf>
    <xf numFmtId="0" fontId="13" fillId="0" borderId="0" pivotButton="0" quotePrefix="0" xfId="0"/>
    <xf numFmtId="0" fontId="14" fillId="0" borderId="0" pivotButton="0" quotePrefix="0" xfId="0"/>
    <xf numFmtId="0" fontId="15" fillId="6" borderId="0" applyAlignment="1" pivotButton="0" quotePrefix="0" xfId="0">
      <alignment vertical="center" wrapText="1"/>
    </xf>
    <xf numFmtId="0" fontId="3" fillId="0" borderId="3" applyAlignment="1" pivotButton="0" quotePrefix="0" xfId="0">
      <alignment vertical="top" wrapText="1"/>
    </xf>
    <xf numFmtId="0" fontId="4" fillId="0" borderId="3" applyAlignment="1" pivotButton="0" quotePrefix="0" xfId="0">
      <alignment vertical="top" wrapText="1"/>
    </xf>
    <xf numFmtId="0" fontId="3" fillId="5" borderId="3" applyAlignment="1" pivotButton="0" quotePrefix="0" xfId="0">
      <alignment vertical="top" wrapText="1"/>
    </xf>
    <xf numFmtId="0" fontId="4" fillId="5" borderId="3" applyAlignment="1" pivotButton="0" quotePrefix="0" xfId="0">
      <alignment vertical="top" wrapText="1"/>
    </xf>
    <xf numFmtId="0" fontId="12" fillId="5" borderId="0" pivotButton="0" quotePrefix="0" xfId="0"/>
    <xf numFmtId="0" fontId="3" fillId="5" borderId="1" applyAlignment="1" pivotButton="0" quotePrefix="0" xfId="0">
      <alignment vertical="top" wrapText="1"/>
    </xf>
    <xf numFmtId="0" fontId="3" fillId="5"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showGridLines="0" topLeftCell="A10" workbookViewId="0">
      <selection activeCell="A25" sqref="A25"/>
    </sheetView>
  </sheetViews>
  <sheetFormatPr baseColWidth="8" defaultRowHeight="14.5"/>
  <cols>
    <col width="120" customWidth="1" style="23" min="1" max="1"/>
  </cols>
  <sheetData>
    <row r="1" ht="18" customHeight="1" s="23">
      <c r="A1" s="1" t="inlineStr">
        <is>
          <t>SLIDE 8: V1 TO V2 USABILITY TEST REPORT (SIMULATED EXAMPLE)</t>
        </is>
      </c>
    </row>
    <row r="2">
      <c r="A2" s="31" t="inlineStr">
        <is>
          <t>SIMULATED EXAMPLE. Illustrative test format, not real user data. No V2 has been built or tested. Rows marked "Code check" come from reading the V1 source code.</t>
        </is>
      </c>
    </row>
    <row r="3">
      <c r="A3" s="3" t="n"/>
    </row>
    <row r="4">
      <c r="A4" s="4" t="inlineStr">
        <is>
          <t>Purpose</t>
        </is>
      </c>
    </row>
    <row r="5" ht="25" customHeight="1" s="23">
      <c r="A5" s="3" t="inlineStr">
        <is>
          <t>Shows the format of a round of 3 usability sessions on the V1 adaptive memory-retrieval MVP, what it would teach, and a simulated V2 round. The layout is ready for real sessions; the data is worked example data.</t>
        </is>
      </c>
    </row>
    <row r="6">
      <c r="A6" s="3" t="n"/>
    </row>
    <row r="7">
      <c r="A7" s="4" t="inlineStr">
        <is>
          <t>How to convert to real results</t>
        </is>
      </c>
    </row>
    <row r="8" ht="37.5" customHeight="1" s="23">
      <c r="A8" s="3" t="inlineStr">
        <is>
          <t>1. Run 3 sessions with Segment T users (they expect a specific photo to exist, remember it imprecisely, and keep trying).  2. Overwrite the shaded cells in Participants and Sessions.  3. Metrics recalculates.  4. Rewrite Learnings and V1 to V2 from what you saw, then remove every "Simulated" label.</t>
        </is>
      </c>
    </row>
    <row r="9">
      <c r="A9" s="3" t="n"/>
    </row>
    <row r="10">
      <c r="A10" s="4" t="inlineStr">
        <is>
          <t>Sheets</t>
        </is>
      </c>
    </row>
    <row r="11">
      <c r="A11" s="3" t="inlineStr">
        <is>
          <t>Real vs Simulated | Participants | Tasks | Sessions | Metrics | Learnings | V1 to V2 | V2 Changes | V2 Participants | V2 Sessions | V1 vs V2 Metrics | V2 Learnings and Next</t>
        </is>
      </c>
    </row>
    <row r="12">
      <c r="A12" s="3" t="n"/>
    </row>
    <row r="13">
      <c r="A13" s="4" t="inlineStr">
        <is>
          <t>What is NOT simulated</t>
        </is>
      </c>
    </row>
    <row r="14">
      <c r="A14" s="3" t="inlineStr">
        <is>
          <t>The six task scenarios and the 72 photos are the MVP's own data. Findings marked "Code check" (filters never shown, only 6 of 12 photos shown, unranked recovery, no logging) come from reading the V1 source code. See the Real vs Simulated sheet.</t>
        </is>
      </c>
    </row>
    <row r="15">
      <c r="A15" s="3" t="n"/>
    </row>
    <row r="16">
      <c r="A16" s="4" t="inlineStr">
        <is>
          <t>Limits</t>
        </is>
      </c>
    </row>
    <row r="17" ht="25" customHeight="1" s="23">
      <c r="A17" s="3" t="inlineStr">
        <is>
          <t>3 users and 6 sessions per round, so one session moves a percentage by about 17 points. V1 does not log time, inspections or recovery steps, so a facilitator would record them by hand.</t>
        </is>
      </c>
    </row>
    <row r="19">
      <c r="A19" s="32" t="inlineStr">
        <is>
          <t>V2 ROUND (SIMULATED)</t>
        </is>
      </c>
    </row>
    <row r="20" ht="25" customHeight="1" s="23">
      <c r="A20" s="3" t="inlineStr">
        <is>
          <t>Added sheets: V2 Changes | V2 Participants | V2 Sessions | V1 vs V2 Metrics | V2 Learnings and Next. The V1 to V2 sheet has V2 built, V2 result, Status and Basis columns. All V2 content is simulated: no V2 was built or tested.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70" customWidth="1" style="23" min="1" max="1"/>
    <col width="30" customWidth="1" style="23" min="2" max="2"/>
    <col width="70" customWidth="1" style="23" min="3" max="3"/>
  </cols>
  <sheetData>
    <row r="1">
      <c r="A1" s="33" t="inlineStr">
        <is>
          <t>What in this workbook is real, and what is illustrative</t>
        </is>
      </c>
    </row>
    <row r="3">
      <c r="A3" s="34" t="inlineStr">
        <is>
          <t>Item</t>
        </is>
      </c>
      <c r="B3" s="34" t="inlineStr">
        <is>
          <t>Status</t>
        </is>
      </c>
      <c r="C3" s="34" t="inlineStr">
        <is>
          <t>Source or note</t>
        </is>
      </c>
    </row>
    <row r="4">
      <c r="A4" s="35" t="inlineStr">
        <is>
          <t>Six memory scenarios and 72 photos</t>
        </is>
      </c>
      <c r="B4" s="36" t="inlineStr">
        <is>
          <t>Real</t>
        </is>
      </c>
      <c r="C4" s="35" t="inlineStr">
        <is>
          <t>MVP data (src/mockData.js, public/google)</t>
        </is>
      </c>
    </row>
    <row r="5">
      <c r="A5" s="35" t="inlineStr">
        <is>
          <t>Filter options computed after each search but never displayed</t>
        </is>
      </c>
      <c r="B5" s="36" t="inlineStr">
        <is>
          <t>Real (code check)</t>
        </is>
      </c>
      <c r="C5" s="35" t="inlineStr">
        <is>
          <t>src/App.jsx: availableFilters is set, not rendered</t>
        </is>
      </c>
    </row>
    <row r="6">
      <c r="A6" s="35" t="inlineStr">
        <is>
          <t>Only the first 6 of 12 photos in the best-matching group are shown</t>
        </is>
      </c>
      <c r="B6" s="36" t="inlineStr">
        <is>
          <t>Real (code check)</t>
        </is>
      </c>
      <c r="C6" s="35" t="inlineStr">
        <is>
          <t>src/App.jsx: candidates.slice(0, 6)</t>
        </is>
      </c>
    </row>
    <row r="7">
      <c r="A7" s="35" t="inlineStr">
        <is>
          <t>Recovery is an unranked list of 6 to 10 categories</t>
        </is>
      </c>
      <c r="B7" s="36" t="inlineStr">
        <is>
          <t>Real (code check)</t>
        </is>
      </c>
      <c r="C7" s="35" t="inlineStr">
        <is>
          <t>src/App.jsx: recovery taxonomies</t>
        </is>
      </c>
    </row>
    <row r="8">
      <c r="A8" s="35" t="inlineStr">
        <is>
          <t>Clues are read by fixed keyword rules; every extracted clue is a hard filter</t>
        </is>
      </c>
      <c r="B8" s="36" t="inlineStr">
        <is>
          <t>Real (code check)</t>
        </is>
      </c>
      <c r="C8" s="35" t="inlineStr">
        <is>
          <t>src/App.jsx: mockContextExtractor; src/mockData.js: filterByMetadata</t>
        </is>
      </c>
    </row>
    <row r="9">
      <c r="A9" s="35" t="inlineStr">
        <is>
          <t>No in-app logging of time, inspections or recovery steps</t>
        </is>
      </c>
      <c r="B9" s="36" t="inlineStr">
        <is>
          <t>Real (code check)</t>
        </is>
      </c>
      <c r="C9" s="35" t="inlineStr">
        <is>
          <t>The success screen shows a label only</t>
        </is>
      </c>
    </row>
    <row r="10">
      <c r="A10" s="35" t="inlineStr">
        <is>
          <t>Task links to discovery patterns</t>
        </is>
      </c>
      <c r="B10" s="36" t="inlineStr">
        <is>
          <t>From discovery dataset</t>
        </is>
      </c>
      <c r="C10" s="35" t="inlineStr">
        <is>
          <t>Slide 3 counts. The discovery dataset is itself simulated, per the deck</t>
        </is>
      </c>
    </row>
    <row r="11">
      <c r="A11" s="37" t="inlineStr">
        <is>
          <t>Participants U1-U6, sessions S1-S12, quotes, times, confidence</t>
        </is>
      </c>
      <c r="B11" s="38" t="inlineStr">
        <is>
          <t>Simulated</t>
        </is>
      </c>
      <c r="C11" s="37" t="inlineStr">
        <is>
          <t>Invented to show the test format</t>
        </is>
      </c>
    </row>
    <row r="12">
      <c r="A12" s="37" t="inlineStr">
        <is>
          <t>All metric values</t>
        </is>
      </c>
      <c r="B12" s="38" t="inlineStr">
        <is>
          <t>Simulated inputs, real formulas</t>
        </is>
      </c>
      <c r="C12" s="37" t="inlineStr">
        <is>
          <t>Formulas recalculate from the Sessions sheets</t>
        </is>
      </c>
    </row>
    <row r="13">
      <c r="A13" s="37" t="inlineStr">
        <is>
          <t>V2 features (LLM clue reading, filter chips, ranked recovery, show all, logging)</t>
        </is>
      </c>
      <c r="B13" s="38" t="inlineStr">
        <is>
          <t>Simulated</t>
        </is>
      </c>
      <c r="C13" s="37" t="inlineStr">
        <is>
          <t>Not built. They are proposals</t>
        </is>
      </c>
    </row>
    <row r="14">
      <c r="A14" s="37" t="inlineStr">
        <is>
          <t>V2 results and the V1 vs V2 comparison</t>
        </is>
      </c>
      <c r="B14" s="38" t="inlineStr">
        <is>
          <t>Simulated</t>
        </is>
      </c>
      <c r="C14" s="37" t="inlineStr">
        <is>
          <t>No V2 was tested</t>
        </is>
      </c>
    </row>
    <row r="15">
      <c r="A15" s="37" t="inlineStr">
        <is>
          <t>Priorities and owners in V2 Learnings and Next</t>
        </is>
      </c>
      <c r="B15" s="38" t="inlineStr">
        <is>
          <t>Proposal</t>
        </is>
      </c>
      <c r="C15" s="37" t="inlineStr">
        <is>
          <t>A suggested order, not a decision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tabSelected="1" workbookViewId="0">
      <pane ySplit="3" topLeftCell="A4" activePane="bottomLeft" state="frozen"/>
      <selection pane="bottomLeft" activeCell="C10" sqref="C10"/>
    </sheetView>
  </sheetViews>
  <sheetFormatPr baseColWidth="8" defaultRowHeight="14.5"/>
  <cols>
    <col width="8" customWidth="1" style="23" min="1" max="1"/>
    <col width="14" customWidth="1" style="23" min="2" max="2"/>
    <col width="26" customWidth="1" style="23" min="3" max="3"/>
    <col width="22" customWidth="1" style="23" min="4" max="4"/>
    <col width="64" customWidth="1" style="23" min="5" max="5"/>
    <col width="34" customWidth="1" style="23" min="6" max="6"/>
  </cols>
  <sheetData>
    <row r="1">
      <c r="A1" s="39" t="inlineStr">
        <is>
          <t>SIMULATED EXAMPLE. Illustrative test format, not real user data. No V2 has been built or tested. Rows marked "Code check" come from reading the V1 source code.</t>
        </is>
      </c>
    </row>
    <row r="3">
      <c r="A3" s="5" t="inlineStr">
        <is>
          <t>User</t>
        </is>
      </c>
      <c r="B3" s="5" t="inlineStr">
        <is>
          <t>Status</t>
        </is>
      </c>
      <c r="C3" s="5" t="inlineStr">
        <is>
          <t>Profile</t>
        </is>
      </c>
      <c r="D3" s="5" t="inlineStr">
        <is>
          <t>Photos use</t>
        </is>
      </c>
      <c r="E3" s="5" t="inlineStr">
        <is>
          <t>Retrieval behaviour (screener)</t>
        </is>
      </c>
      <c r="F3" s="5" t="inlineStr">
        <is>
          <t>Segment match</t>
        </is>
      </c>
    </row>
    <row r="4" ht="25" customHeight="1" s="23">
      <c r="A4" s="6" t="inlineStr">
        <is>
          <t>U1</t>
        </is>
      </c>
      <c r="B4" s="6" t="inlineStr">
        <is>
          <t>Simulated</t>
        </is>
      </c>
      <c r="C4" s="14" t="inlineStr">
        <is>
          <t>White Collar working Professional, 29</t>
        </is>
      </c>
      <c r="D4" s="14" t="inlineStr">
        <is>
          <t>Google Photos, daily</t>
        </is>
      </c>
      <c r="E4" s="14" t="inlineStr">
        <is>
          <t>Hunts for a photo in 2+ attempts each month; switches between search and scrolling</t>
        </is>
      </c>
      <c r="F4" s="6" t="inlineStr">
        <is>
          <t>Segment T: effortful-path retriever</t>
        </is>
      </c>
    </row>
    <row r="5" ht="25" customHeight="1" s="23">
      <c r="A5" s="6" t="inlineStr">
        <is>
          <t>U2</t>
        </is>
      </c>
      <c r="B5" s="6" t="inlineStr">
        <is>
          <t>Simulated</t>
        </is>
      </c>
      <c r="C5" s="14" t="inlineStr">
        <is>
          <t>White Collar working Professional, 34</t>
        </is>
      </c>
      <c r="D5" s="14" t="inlineStr">
        <is>
          <t>Google Photos, weekly</t>
        </is>
      </c>
      <c r="E5" s="14" t="inlineStr">
        <is>
          <t>Remembers place and people but not dates; scrolls the timeline when search fails</t>
        </is>
      </c>
      <c r="F5" s="6" t="inlineStr">
        <is>
          <t>Segment T: effortful-path retriever</t>
        </is>
      </c>
    </row>
    <row r="6" ht="25" customHeight="1" s="23">
      <c r="A6" s="6" t="inlineStr">
        <is>
          <t>U3</t>
        </is>
      </c>
      <c r="B6" s="6" t="inlineStr">
        <is>
          <t>Simulated</t>
        </is>
      </c>
      <c r="C6" s="14" t="inlineStr">
        <is>
          <t>Graduate student, 24</t>
        </is>
      </c>
      <c r="D6" s="14" t="inlineStr">
        <is>
          <t>Google Photos, weekly</t>
        </is>
      </c>
      <c r="E6" s="14" t="inlineStr">
        <is>
          <t>Uses vague search words, retries with new words, gives up after several misses</t>
        </is>
      </c>
      <c r="F6" s="6" t="inlineStr">
        <is>
          <t>Segment T: effortful-path retriever</t>
        </is>
      </c>
    </row>
    <row r="8">
      <c r="B8" s="3" t="n"/>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B13" sqref="B13"/>
    </sheetView>
  </sheetViews>
  <sheetFormatPr baseColWidth="8" defaultRowHeight="14.5"/>
  <cols>
    <col width="8" customWidth="1" style="23" min="1" max="1"/>
    <col width="52" customWidth="1" style="23" min="2" max="2"/>
    <col width="40" customWidth="1" style="23" min="3" max="3"/>
    <col width="32" customWidth="1" style="23" min="4" max="4"/>
    <col width="30" customWidth="1" style="23" min="5" max="5"/>
    <col width="62" customWidth="1" style="23" min="6" max="6"/>
    <col width="22" customWidth="1" style="23" min="7" max="7"/>
  </cols>
  <sheetData>
    <row r="1">
      <c r="A1" s="5" t="inlineStr">
        <is>
          <t>Task</t>
        </is>
      </c>
      <c r="B1" s="5" t="inlineStr">
        <is>
          <t>Memory the user is given (scenario card)</t>
        </is>
      </c>
      <c r="C1" s="5" t="inlineStr">
        <is>
          <t>Clues they may use</t>
        </is>
      </c>
      <c r="D1" s="5" t="inlineStr">
        <is>
          <t>Withheld from the user</t>
        </is>
      </c>
      <c r="E1" s="5" t="inlineStr">
        <is>
          <t>Source</t>
        </is>
      </c>
      <c r="F1" s="34" t="inlineStr">
        <is>
          <t>Discovery pattern (Slide 3)</t>
        </is>
      </c>
      <c r="G1" s="34" t="inlineStr">
        <is>
          <t>Intended photo ID (chosen for the test)</t>
        </is>
      </c>
    </row>
    <row r="2">
      <c r="A2" s="6" t="inlineStr">
        <is>
          <t>T1</t>
        </is>
      </c>
      <c r="B2" s="6" t="inlineStr">
        <is>
          <t>Beach cafe with my cousin around sunset in Goa</t>
        </is>
      </c>
      <c r="C2" s="6" t="inlineStr">
        <is>
          <t>Goa, cousin, beach cafe, sunset</t>
        </is>
      </c>
      <c r="D2" s="6" t="inlineStr">
        <is>
          <t>Exact date, file name, keyword</t>
        </is>
      </c>
      <c r="E2" s="6" t="inlineStr">
        <is>
          <t xml:space="preserve">Real scenario in the MVP </t>
        </is>
      </c>
      <c r="F2" s="35" t="inlineStr">
        <is>
          <t>Travel / place photo; holds people and approximate time, lacks exact date (Slide 3)</t>
        </is>
      </c>
      <c r="G2" s="35" t="n">
        <v>101</v>
      </c>
    </row>
    <row r="3">
      <c r="A3" s="6" t="inlineStr">
        <is>
          <t>T2</t>
        </is>
      </c>
      <c r="B3" s="6" t="inlineStr">
        <is>
          <t>Hiking in the monsoon near Maharashtra mountains</t>
        </is>
      </c>
      <c r="C3" s="6" t="inlineStr">
        <is>
          <t>Maharashtra, rain, hiking</t>
        </is>
      </c>
      <c r="D3" s="6" t="inlineStr">
        <is>
          <t>Exact date, trail name, keyword</t>
        </is>
      </c>
      <c r="E3" s="6" t="inlineStr">
        <is>
          <t xml:space="preserve">Real scenario in the MVP </t>
        </is>
      </c>
      <c r="F3" s="35" t="inlineStr">
        <is>
          <t>Travel / place photo; holds activity, lacks a name or keyword (Slide 3)</t>
        </is>
      </c>
      <c r="G3" s="35" t="n">
        <v>118</v>
      </c>
    </row>
    <row r="4">
      <c r="A4" s="6" t="inlineStr">
        <is>
          <t>T3</t>
        </is>
      </c>
      <c r="B4" s="6" t="inlineStr">
        <is>
          <t>Late night beach party with friends in Goa</t>
        </is>
      </c>
      <c r="C4" s="6" t="inlineStr">
        <is>
          <t>Goa, friends, night, party, guitar</t>
        </is>
      </c>
      <c r="D4" s="6" t="inlineStr">
        <is>
          <t>Exact date, album, keyword</t>
        </is>
      </c>
      <c r="E4" s="6" t="inlineStr">
        <is>
          <t xml:space="preserve">Real scenario in the MVP </t>
        </is>
      </c>
      <c r="F4" s="35" t="inlineStr">
        <is>
          <t>Event / social photo; holds people and approximate time, lacks exact date (Slide 3)</t>
        </is>
      </c>
      <c r="G4" s="35" t="n">
        <v>130</v>
      </c>
    </row>
    <row r="5">
      <c r="A5" s="6" t="inlineStr">
        <is>
          <t>T4</t>
        </is>
      </c>
      <c r="B5" s="6" t="inlineStr">
        <is>
          <t>That hidden waterfall we found in the jungle</t>
        </is>
      </c>
      <c r="C5" s="6" t="inlineStr">
        <is>
          <t>Waterfall, jungle, hidden</t>
        </is>
      </c>
      <c r="D5" s="6" t="inlineStr">
        <is>
          <t>Place name, date, keyword</t>
        </is>
      </c>
      <c r="E5" s="6" t="inlineStr">
        <is>
          <t xml:space="preserve">Real scenario in the MVP </t>
        </is>
      </c>
      <c r="F5" s="35" t="inlineStr">
        <is>
          <t>Travel / place photo; holds visual appearance, lacks a name or keyword (Slide 3)</t>
        </is>
      </c>
      <c r="G5" s="35" t="n">
        <v>138</v>
      </c>
    </row>
    <row r="6">
      <c r="A6" s="6" t="inlineStr">
        <is>
          <t>T5</t>
        </is>
      </c>
      <c r="B6" s="6" t="inlineStr">
        <is>
          <t>The houseboat trip we took in Kerala with family</t>
        </is>
      </c>
      <c r="C6" s="6" t="inlineStr">
        <is>
          <t>Kerala, houseboat, family</t>
        </is>
      </c>
      <c r="D6" s="6" t="inlineStr">
        <is>
          <t>Exact date, album, keyword</t>
        </is>
      </c>
      <c r="E6" s="6" t="inlineStr">
        <is>
          <t xml:space="preserve">Real scenario in the MVP </t>
        </is>
      </c>
      <c r="F6" s="35" t="inlineStr">
        <is>
          <t>Travel / place photo with family; holds people, lacks exact date (Slide 3)</t>
        </is>
      </c>
      <c r="G6" s="35" t="n">
        <v>150</v>
      </c>
    </row>
    <row r="7">
      <c r="A7" s="6" t="inlineStr">
        <is>
          <t>T6</t>
        </is>
      </c>
      <c r="B7" s="6" t="inlineStr">
        <is>
          <t>Watching the sunset from a hammock</t>
        </is>
      </c>
      <c r="C7" s="6" t="inlineStr">
        <is>
          <t>Sunset, hammock</t>
        </is>
      </c>
      <c r="D7" s="6" t="inlineStr">
        <is>
          <t>Place, date, keyword</t>
        </is>
      </c>
      <c r="E7" s="6" t="inlineStr">
        <is>
          <t xml:space="preserve">Real scenario in the MVP </t>
        </is>
      </c>
      <c r="F7" s="35" t="inlineStr">
        <is>
          <t>Visual-appearance memory; holds visual appearance, lacks a keyword (Slide 3)</t>
        </is>
      </c>
      <c r="G7" s="35" t="n">
        <v>162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
  <sheetViews>
    <sheetView workbookViewId="0">
      <pane ySplit="3" topLeftCell="A4" activePane="bottomLeft" state="frozen"/>
      <selection pane="bottomLeft" activeCell="D9" sqref="D9"/>
    </sheetView>
  </sheetViews>
  <sheetFormatPr baseColWidth="8" defaultRowHeight="14.5"/>
  <cols>
    <col width="9" customWidth="1" style="23" min="1" max="1"/>
    <col width="7" customWidth="1" style="23" min="2" max="3"/>
    <col width="40" customWidth="1" style="23" min="4" max="4"/>
    <col width="14" customWidth="1" style="23" min="5" max="7"/>
    <col width="12" customWidth="1" style="23" min="8" max="8"/>
    <col width="13" customWidth="1" style="23" min="9" max="9"/>
    <col width="14" customWidth="1" style="23" min="10" max="11"/>
    <col width="12" customWidth="1" style="23" min="12" max="12"/>
    <col width="72" customWidth="1" style="23" min="13" max="13"/>
    <col width="14" customWidth="1" style="23" min="14" max="14"/>
    <col width="14" customWidth="1" style="23" min="15" max="15"/>
    <col width="44" customWidth="1" style="23" min="16" max="16"/>
  </cols>
  <sheetData>
    <row r="1">
      <c r="A1" s="39" t="inlineStr">
        <is>
          <t>SIMULATED EXAMPLE. Illustrative test format, not real user data. No V2 has been built or tested. Rows marked "Code check" come from reading the V1 source code.</t>
        </is>
      </c>
    </row>
    <row r="3" ht="26" customHeight="1" s="23">
      <c r="A3" s="5" t="inlineStr">
        <is>
          <t>Session</t>
        </is>
      </c>
      <c r="B3" s="5" t="inlineStr">
        <is>
          <t>User</t>
        </is>
      </c>
      <c r="C3" s="5" t="inlineStr">
        <is>
          <t>Task</t>
        </is>
      </c>
      <c r="D3" s="5" t="inlineStr">
        <is>
          <t xml:space="preserve">Query typed </t>
        </is>
      </c>
      <c r="E3" s="5" t="inlineStr">
        <is>
          <t>Clues read correctly</t>
        </is>
      </c>
      <c r="F3" s="5" t="inlineStr">
        <is>
          <t>First attempt found it</t>
        </is>
      </c>
      <c r="G3" s="5" t="inlineStr">
        <is>
          <t>Recovery used (count)</t>
        </is>
      </c>
      <c r="H3" s="5" t="inlineStr">
        <is>
          <t>Strategy switches</t>
        </is>
      </c>
      <c r="I3" s="5" t="inlineStr">
        <is>
          <t>Candidates inspected</t>
        </is>
      </c>
      <c r="J3" s="5" t="inlineStr">
        <is>
          <t>Time to retrieval (s)</t>
        </is>
      </c>
      <c r="K3" s="5" t="inlineStr">
        <is>
          <t>Found intended photo</t>
        </is>
      </c>
      <c r="L3" s="5" t="inlineStr">
        <is>
          <t>Confidence (1-5)</t>
        </is>
      </c>
      <c r="M3" s="5" t="inlineStr">
        <is>
          <t xml:space="preserve">Observation </t>
        </is>
      </c>
      <c r="N3" s="34" t="inlineStr">
        <is>
          <t>Intended photo ID</t>
        </is>
      </c>
      <c r="O3" s="34" t="inlineStr">
        <is>
          <t>Photo picked ID</t>
        </is>
      </c>
      <c r="P3" s="34" t="inlineStr">
        <is>
          <t>Participant quote (simulated)</t>
        </is>
      </c>
    </row>
    <row r="4">
      <c r="A4" s="6" t="inlineStr">
        <is>
          <t>S1</t>
        </is>
      </c>
      <c r="B4" s="6" t="inlineStr">
        <is>
          <t>U1</t>
        </is>
      </c>
      <c r="C4" s="6" t="inlineStr">
        <is>
          <t>T1</t>
        </is>
      </c>
      <c r="D4" s="14" t="inlineStr">
        <is>
          <t>beach cafe with my cousin sunset goa</t>
        </is>
      </c>
      <c r="E4" s="40" t="inlineStr">
        <is>
          <t>Yes</t>
        </is>
      </c>
      <c r="F4" s="14" t="inlineStr">
        <is>
          <t>Yes</t>
        </is>
      </c>
      <c r="G4" s="14" t="n">
        <v>0</v>
      </c>
      <c r="H4" s="14" t="n">
        <v>0</v>
      </c>
      <c r="I4" s="14" t="n">
        <v>4</v>
      </c>
      <c r="J4" s="14" t="n">
        <v>48</v>
      </c>
      <c r="K4" s="37">
        <f>IF(O4=N4,"Yes","No")</f>
        <v/>
      </c>
      <c r="L4" s="14" t="n">
        <v>4</v>
      </c>
      <c r="M4" s="40" t="inlineStr">
        <is>
          <t>Read the clue chips and picked the second photo quickly.</t>
        </is>
      </c>
      <c r="N4" s="37">
        <f>VLOOKUP(C4,Tasks!$A$2:$G$7,7,FALSE)</f>
        <v/>
      </c>
      <c r="O4" s="37" t="n">
        <v>101</v>
      </c>
      <c r="P4" s="37" t="inlineStr">
        <is>
          <t>"That's the one, second photo."</t>
        </is>
      </c>
    </row>
    <row r="5" ht="25" customHeight="1" s="23">
      <c r="A5" s="6" t="inlineStr">
        <is>
          <t>S2</t>
        </is>
      </c>
      <c r="B5" s="6" t="inlineStr">
        <is>
          <t>U1</t>
        </is>
      </c>
      <c r="C5" s="6" t="inlineStr">
        <is>
          <t>T4</t>
        </is>
      </c>
      <c r="D5" s="14" t="inlineStr">
        <is>
          <t>hidden waterfall trek with friends</t>
        </is>
      </c>
      <c r="E5" s="40" t="inlineStr">
        <is>
          <t>Partly</t>
        </is>
      </c>
      <c r="F5" s="14" t="inlineStr">
        <is>
          <t>No</t>
        </is>
      </c>
      <c r="G5" s="14" t="n">
        <v>3</v>
      </c>
      <c r="H5" s="14" t="n">
        <v>2</v>
      </c>
      <c r="I5" s="14" t="n">
        <v>7</v>
      </c>
      <c r="J5" s="14" t="n">
        <v>142</v>
      </c>
      <c r="K5" s="37">
        <f>IF(O5=N5,"Yes","No")</f>
        <v/>
      </c>
      <c r="L5" s="14" t="n">
        <v>3</v>
      </c>
      <c r="M5" s="40" t="inlineStr">
        <is>
          <t>"friends" became a hard filter and removed every waterfall photo. Recovery showed 10 categories; user said "I do not know which one matters".</t>
        </is>
      </c>
      <c r="N5" s="37">
        <f>VLOOKUP(C5,Tasks!$A$2:$G$7,7,FALSE)</f>
        <v/>
      </c>
      <c r="O5" s="37" t="n">
        <v>138</v>
      </c>
      <c r="P5" s="37" t="inlineStr">
        <is>
          <t>"I don't know which of these matters."</t>
        </is>
      </c>
    </row>
    <row r="6" ht="25" customHeight="1" s="23">
      <c r="A6" s="6" t="inlineStr">
        <is>
          <t>S3</t>
        </is>
      </c>
      <c r="B6" s="6" t="inlineStr">
        <is>
          <t>U2</t>
        </is>
      </c>
      <c r="C6" s="6" t="inlineStr">
        <is>
          <t>T3</t>
        </is>
      </c>
      <c r="D6" s="14" t="inlineStr">
        <is>
          <t>night party goa beach with my college friends</t>
        </is>
      </c>
      <c r="E6" s="40" t="inlineStr">
        <is>
          <t>Yes</t>
        </is>
      </c>
      <c r="F6" s="14" t="inlineStr">
        <is>
          <t>No</t>
        </is>
      </c>
      <c r="G6" s="14" t="n">
        <v>1</v>
      </c>
      <c r="H6" s="14" t="n">
        <v>1</v>
      </c>
      <c r="I6" s="14" t="n">
        <v>9</v>
      </c>
      <c r="J6" s="14" t="n">
        <v>96</v>
      </c>
      <c r="K6" s="37">
        <f>IF(O6=N6,"Yes","No")</f>
        <v/>
      </c>
      <c r="L6" s="14" t="n">
        <v>4</v>
      </c>
      <c r="M6" s="40" t="inlineStr">
        <is>
          <t>First 6 of 12 photos looked right but not the one with the guitar; found it through Entertainment &gt; Guitar.</t>
        </is>
      </c>
      <c r="N6" s="37">
        <f>VLOOKUP(C6,Tasks!$A$2:$G$7,7,FALSE)</f>
        <v/>
      </c>
      <c r="O6" s="37" t="n">
        <v>130</v>
      </c>
      <c r="P6" s="37" t="inlineStr">
        <is>
          <t>"Right night, but not the photo with the guitar."</t>
        </is>
      </c>
    </row>
    <row r="7">
      <c r="A7" s="6" t="inlineStr">
        <is>
          <t>S4</t>
        </is>
      </c>
      <c r="B7" s="6" t="inlineStr">
        <is>
          <t>U2</t>
        </is>
      </c>
      <c r="C7" s="6" t="inlineStr">
        <is>
          <t>T5</t>
        </is>
      </c>
      <c r="D7" s="14" t="inlineStr">
        <is>
          <t>boat ride kerala backwaters with my parents</t>
        </is>
      </c>
      <c r="E7" s="40" t="inlineStr">
        <is>
          <t>Partly</t>
        </is>
      </c>
      <c r="F7" s="14" t="inlineStr">
        <is>
          <t>Yes</t>
        </is>
      </c>
      <c r="G7" s="14" t="n">
        <v>0</v>
      </c>
      <c r="H7" s="14" t="n">
        <v>0</v>
      </c>
      <c r="I7" s="14" t="n">
        <v>3</v>
      </c>
      <c r="J7" s="14" t="n">
        <v>41</v>
      </c>
      <c r="K7" s="37">
        <f>IF(O7=N7,"Yes","No")</f>
        <v/>
      </c>
      <c r="L7" s="14" t="n">
        <v>5</v>
      </c>
      <c r="M7" s="40" t="inlineStr">
        <is>
          <t>"parents" was not read as a clue but nothing depended on it.</t>
        </is>
      </c>
      <c r="N7" s="37">
        <f>VLOOKUP(C7,Tasks!$A$2:$G$7,7,FALSE)</f>
        <v/>
      </c>
      <c r="O7" s="37" t="n">
        <v>150</v>
      </c>
      <c r="P7" s="37" t="inlineStr">
        <is>
          <t>"Easy, that's the houseboat."</t>
        </is>
      </c>
    </row>
    <row r="8" ht="25" customHeight="1" s="23">
      <c r="A8" s="6" t="inlineStr">
        <is>
          <t>S5</t>
        </is>
      </c>
      <c r="B8" s="6" t="inlineStr">
        <is>
          <t>U3</t>
        </is>
      </c>
      <c r="C8" s="6" t="inlineStr">
        <is>
          <t>T2</t>
        </is>
      </c>
      <c r="D8" s="14" t="inlineStr">
        <is>
          <t>trek near lonavala in rain</t>
        </is>
      </c>
      <c r="E8" s="40" t="inlineStr">
        <is>
          <t>Partly</t>
        </is>
      </c>
      <c r="F8" s="14" t="inlineStr">
        <is>
          <t>No</t>
        </is>
      </c>
      <c r="G8" s="14" t="n">
        <v>2</v>
      </c>
      <c r="H8" s="14" t="n">
        <v>3</v>
      </c>
      <c r="I8" s="14" t="n">
        <v>8</v>
      </c>
      <c r="J8" s="14" t="n">
        <v>210</v>
      </c>
      <c r="K8" s="37">
        <f>IF(O8=N8,"Yes","No")</f>
        <v/>
      </c>
      <c r="L8" s="14" t="n">
        <v>2</v>
      </c>
      <c r="M8" s="40" t="inlineStr">
        <is>
          <t>"trek" and "rain" matched, so hiking photos appeared, but only 6 of 12 in the group were shown and the intended photo was in the hidden half. Gave up after two recovery attempts. Lonavala was not read as Maharashtra, which did not change the results.</t>
        </is>
      </c>
      <c r="N8" s="37">
        <f>VLOOKUP(C8,Tasks!$A$2:$G$7,7,FALSE)</f>
        <v/>
      </c>
      <c r="O8" s="37" t="inlineStr">
        <is>
          <t>-</t>
        </is>
      </c>
      <c r="P8" s="37" t="inlineStr">
        <is>
          <t>"I can't tell these hiking photos apart."</t>
        </is>
      </c>
    </row>
    <row r="9" ht="25" customHeight="1" s="23">
      <c r="A9" s="6" t="inlineStr">
        <is>
          <t>S6</t>
        </is>
      </c>
      <c r="B9" s="6" t="inlineStr">
        <is>
          <t>U3</t>
        </is>
      </c>
      <c r="C9" s="6" t="inlineStr">
        <is>
          <t>T6</t>
        </is>
      </c>
      <c r="D9" s="14" t="inlineStr">
        <is>
          <t>hammock sunset</t>
        </is>
      </c>
      <c r="E9" s="40" t="inlineStr">
        <is>
          <t>Yes</t>
        </is>
      </c>
      <c r="F9" s="14" t="inlineStr">
        <is>
          <t>No</t>
        </is>
      </c>
      <c r="G9" s="14" t="n">
        <v>1</v>
      </c>
      <c r="H9" s="14" t="n">
        <v>1</v>
      </c>
      <c r="I9" s="14" t="n">
        <v>11</v>
      </c>
      <c r="J9" s="14" t="n">
        <v>118</v>
      </c>
      <c r="K9" s="37">
        <f>IF(O9=N9,"Yes","No")</f>
        <v/>
      </c>
      <c r="L9" s="14" t="n">
        <v>3</v>
      </c>
      <c r="M9" s="40" t="inlineStr">
        <is>
          <t>Several near-identical Goa sunsets from two scenarios. Asked "can I narrow this down?" but no filters were on screen.</t>
        </is>
      </c>
      <c r="N9" s="37">
        <f>VLOOKUP(C9,Tasks!$A$2:$G$7,7,FALSE)</f>
        <v/>
      </c>
      <c r="O9" s="37" t="n">
        <v>162</v>
      </c>
      <c r="P9" s="37" t="inlineStr">
        <is>
          <t>"Can I narrow this down somehow?"</t>
        </is>
      </c>
    </row>
  </sheetData>
  <mergeCells count="1">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selection activeCell="A13" sqref="A13"/>
    </sheetView>
  </sheetViews>
  <sheetFormatPr baseColWidth="8" defaultRowHeight="14.5"/>
  <cols>
    <col width="62" customWidth="1" style="23" min="1" max="1"/>
    <col width="12" customWidth="1" style="23" min="2" max="2"/>
    <col width="10" customWidth="1" style="23" min="3" max="5"/>
    <col width="56" customWidth="1" style="23" min="6" max="6"/>
  </cols>
  <sheetData>
    <row r="1">
      <c r="A1" s="39" t="inlineStr">
        <is>
          <t>SIMULATED EXAMPLE. Illustrative test format, not real user data. No V2 has been built or tested. Rows marked "Code check" come from reading the V1 source code.</t>
        </is>
      </c>
    </row>
    <row r="3">
      <c r="A3" s="7" t="inlineStr">
        <is>
          <t>Metric</t>
        </is>
      </c>
      <c r="B3" s="7" t="inlineStr">
        <is>
          <t>Overall</t>
        </is>
      </c>
      <c r="C3" s="7" t="inlineStr">
        <is>
          <t>U1</t>
        </is>
      </c>
      <c r="D3" s="7" t="inlineStr">
        <is>
          <t>U2</t>
        </is>
      </c>
      <c r="E3" s="7" t="inlineStr">
        <is>
          <t>U3</t>
        </is>
      </c>
      <c r="F3" s="7" t="inlineStr">
        <is>
          <t>How it is calculated</t>
        </is>
      </c>
    </row>
    <row r="4">
      <c r="A4" s="8" t="inlineStr">
        <is>
          <t>Retrieval success (% of sessions)</t>
        </is>
      </c>
      <c r="B4" s="9">
        <f>COUNTIF(Sessions!$K$4:$K$9,"Yes")/COUNTA(Sessions!$K$4:$K$9)</f>
        <v/>
      </c>
      <c r="C4" s="9">
        <f>COUNTIFS(Sessions!$B$4:$B$9,"U1",Sessions!$K$4:$K$9,"Yes")/COUNTIF(Sessions!$B$4:$B$9,"U1")</f>
        <v/>
      </c>
      <c r="D4" s="9">
        <f>COUNTIFS(Sessions!$B$4:$B$9,"U2",Sessions!$K$4:$K$9,"Yes")/COUNTIF(Sessions!$B$4:$B$9,"U2")</f>
        <v/>
      </c>
      <c r="E4" s="9">
        <f>COUNTIFS(Sessions!$B$4:$B$9,"U3",Sessions!$K$4:$K$9,"Yes")/COUNTIF(Sessions!$B$4:$B$9,"U3")</f>
        <v/>
      </c>
      <c r="F4" s="10" t="inlineStr">
        <is>
          <t>Sessions where the user identified the intended photo</t>
        </is>
      </c>
    </row>
    <row r="5">
      <c r="A5" s="8" t="inlineStr">
        <is>
          <t>First-attempt success (% of sessions)</t>
        </is>
      </c>
      <c r="B5" s="9">
        <f>COUNTIF(Sessions!$F$4:$F$9,"Yes")/COUNTA(Sessions!$F$4:$F$9)</f>
        <v/>
      </c>
      <c r="C5" s="9">
        <f>COUNTIFS(Sessions!$B$4:$B$9,"U1",Sessions!$F$4:$F$9,"Yes")/COUNTIF(Sessions!$B$4:$B$9,"U1")</f>
        <v/>
      </c>
      <c r="D5" s="9">
        <f>COUNTIFS(Sessions!$B$4:$B$9,"U2",Sessions!$F$4:$F$9,"Yes")/COUNTIF(Sessions!$B$4:$B$9,"U2")</f>
        <v/>
      </c>
      <c r="E5" s="9">
        <f>COUNTIFS(Sessions!$B$4:$B$9,"U3",Sessions!$F$4:$F$9,"Yes")/COUNTIF(Sessions!$B$4:$B$9,"U3")</f>
        <v/>
      </c>
      <c r="F5" s="10" t="inlineStr">
        <is>
          <t>Found without pressing "none of these"</t>
        </is>
      </c>
    </row>
    <row r="6">
      <c r="A6" s="8" t="inlineStr">
        <is>
          <t>Recovery rate (% of failed first attempts that ended in success)</t>
        </is>
      </c>
      <c r="B6" s="9">
        <f>COUNTIFS(Sessions!$F$4:$F$9,"No",Sessions!$K$4:$K$9,"Yes")/COUNTIF(Sessions!$F$4:$F$9,"No")</f>
        <v/>
      </c>
      <c r="C6" s="9">
        <f>IFERROR(COUNTIFS(Sessions!$B$4:$B$9,"U1",Sessions!$F$4:$F$9,"No",Sessions!$K$4:$K$9,"Yes")/COUNTIFS(Sessions!$B$4:$B$9,"U1",Sessions!$F$4:$F$9,"No"),"n/a")</f>
        <v/>
      </c>
      <c r="D6" s="9">
        <f>IFERROR(COUNTIFS(Sessions!$B$4:$B$9,"U2",Sessions!$F$4:$F$9,"No",Sessions!$K$4:$K$9,"Yes")/COUNTIFS(Sessions!$B$4:$B$9,"U2",Sessions!$F$4:$F$9,"No"),"n/a")</f>
        <v/>
      </c>
      <c r="E6" s="9">
        <f>IFERROR(COUNTIFS(Sessions!$B$4:$B$9,"U3",Sessions!$F$4:$F$9,"No",Sessions!$K$4:$K$9,"Yes")/COUNTIFS(Sessions!$B$4:$B$9,"U3",Sessions!$F$4:$F$9,"No"),"n/a")</f>
        <v/>
      </c>
      <c r="F6" s="10" t="inlineStr">
        <is>
          <t>Failed first attempts that still found the photo</t>
        </is>
      </c>
    </row>
    <row r="7">
      <c r="A7" s="8" t="inlineStr">
        <is>
          <t>Median time to retrieval, successful sessions (s)</t>
        </is>
      </c>
      <c r="B7" s="11">
        <f t="array" ref="B7">MEDIAN(IF(Sessions!$K$4:$K$9="Yes",Sessions!$J$4:$J$9))</f>
        <v/>
      </c>
      <c r="C7" s="12" t="n"/>
      <c r="D7" s="12" t="n"/>
      <c r="E7" s="12" t="n"/>
      <c r="F7" s="10" t="inlineStr">
        <is>
          <t>Array formula over successful sessions</t>
        </is>
      </c>
    </row>
    <row r="8">
      <c r="A8" s="8" t="inlineStr">
        <is>
          <t>Average strategy switches per session</t>
        </is>
      </c>
      <c r="B8" s="12">
        <f>AVERAGE(Sessions!$H$4:$H$9)</f>
        <v/>
      </c>
      <c r="C8" s="12">
        <f>AVERAGEIF(Sessions!$B$4:$B$9,"U1",Sessions!$H$4:$H$9)</f>
        <v/>
      </c>
      <c r="D8" s="12">
        <f>AVERAGEIF(Sessions!$B$4:$B$9,"U2",Sessions!$H$4:$H$9)</f>
        <v/>
      </c>
      <c r="E8" s="12">
        <f>AVERAGEIF(Sessions!$B$4:$B$9,"U3",Sessions!$H$4:$H$9)</f>
        <v/>
      </c>
      <c r="F8" s="10" t="inlineStr">
        <is>
          <t>Changes of approach during a session</t>
        </is>
      </c>
    </row>
    <row r="9">
      <c r="A9" s="8" t="inlineStr">
        <is>
          <t>Average candidates inspected per session</t>
        </is>
      </c>
      <c r="B9" s="12">
        <f>AVERAGE(Sessions!$I$4:$I$9)</f>
        <v/>
      </c>
      <c r="C9" s="12">
        <f>AVERAGEIF(Sessions!$B$4:$B$9,"U1",Sessions!$I$4:$I$9)</f>
        <v/>
      </c>
      <c r="D9" s="12">
        <f>AVERAGEIF(Sessions!$B$4:$B$9,"U2",Sessions!$I$4:$I$9)</f>
        <v/>
      </c>
      <c r="E9" s="12">
        <f>AVERAGEIF(Sessions!$B$4:$B$9,"U3",Sessions!$I$4:$I$9)</f>
        <v/>
      </c>
      <c r="F9" s="10" t="inlineStr">
        <is>
          <t>Proxy for manual browsing</t>
        </is>
      </c>
    </row>
    <row r="10">
      <c r="A10" s="8" t="inlineStr">
        <is>
          <t>Average recognition confidence (1-5)</t>
        </is>
      </c>
      <c r="B10" s="12">
        <f>AVERAGE(Sessions!$L$4:$L$9)</f>
        <v/>
      </c>
      <c r="C10" s="12">
        <f>AVERAGEIF(Sessions!$B$4:$B$9,"U1",Sessions!$L$4:$L$9)</f>
        <v/>
      </c>
      <c r="D10" s="12">
        <f>AVERAGEIF(Sessions!$B$4:$B$9,"U2",Sessions!$L$4:$L$9)</f>
        <v/>
      </c>
      <c r="E10" s="12">
        <f>AVERAGEIF(Sessions!$B$4:$B$9,"U3",Sessions!$L$4:$L$9)</f>
        <v/>
      </c>
      <c r="F10" s="10" t="inlineStr">
        <is>
          <t>Self-reported after each session</t>
        </is>
      </c>
    </row>
    <row r="11">
      <c r="A11" s="8" t="inlineStr">
        <is>
          <t>Clues read correctly (% of sessions)</t>
        </is>
      </c>
      <c r="B11" s="9">
        <f>COUNTIF(Sessions!$E$4:$E$9,"Yes")/COUNTA(Sessions!$E$4:$E$9)</f>
        <v/>
      </c>
      <c r="C11" s="9">
        <f>COUNTIFS(Sessions!$B$4:$B$9,"U1",Sessions!$E$4:$E$9,"Yes")/COUNTIF(Sessions!$B$4:$B$9,"U1")</f>
        <v/>
      </c>
      <c r="D11" s="9">
        <f>COUNTIFS(Sessions!$B$4:$B$9,"U2",Sessions!$E$4:$E$9,"Yes")/COUNTIF(Sessions!$B$4:$B$9,"U2")</f>
        <v/>
      </c>
      <c r="E11" s="9">
        <f>COUNTIFS(Sessions!$B$4:$B$9,"U3",Sessions!$E$4:$E$9,"Yes")/COUNTIF(Sessions!$B$4:$B$9,"U3")</f>
        <v/>
      </c>
      <c r="F11" s="10" t="inlineStr">
        <is>
          <t>Express quality: every key clue extracted</t>
        </is>
      </c>
    </row>
    <row r="13">
      <c r="A13" s="13" t="inlineStr">
        <is>
          <t>With 3 users each session is worth about 17 percentage points. Read these as signals to check, not rates.</t>
        </is>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pane ySplit="3" topLeftCell="A4" activePane="bottomLeft" state="frozen"/>
      <selection pane="bottomLeft" activeCell="C7" sqref="C7"/>
    </sheetView>
  </sheetViews>
  <sheetFormatPr baseColWidth="8" defaultRowHeight="14.5"/>
  <cols>
    <col width="6" customWidth="1" style="23" min="1" max="1"/>
    <col width="18" customWidth="1" style="23" min="2" max="2"/>
    <col width="72" customWidth="1" style="23" min="3" max="3"/>
    <col width="26" customWidth="1" style="23" min="4" max="4"/>
    <col width="10" customWidth="1" style="23" min="5" max="5"/>
    <col width="62" customWidth="1" style="23" min="6" max="6"/>
    <col width="14" customWidth="1" style="23" min="7" max="7"/>
  </cols>
  <sheetData>
    <row r="1">
      <c r="A1" s="39" t="inlineStr">
        <is>
          <t>SIMULATED EXAMPLE. Illustrative test format, not real user data. No V2 has been built or tested. Rows marked "Code check" come from reading the V1 source code.</t>
        </is>
      </c>
    </row>
    <row r="3">
      <c r="A3" s="5" t="inlineStr">
        <is>
          <t>ID</t>
        </is>
      </c>
      <c r="B3" s="5" t="inlineStr">
        <is>
          <t>Journey stage</t>
        </is>
      </c>
      <c r="C3" s="5" t="inlineStr">
        <is>
          <t>Learning</t>
        </is>
      </c>
      <c r="D3" s="5" t="inlineStr">
        <is>
          <t>Evidence</t>
        </is>
      </c>
      <c r="E3" s="5" t="inlineStr">
        <is>
          <t>Severity</t>
        </is>
      </c>
      <c r="F3" s="5" t="inlineStr">
        <is>
          <t>What to change in V2</t>
        </is>
      </c>
      <c r="G3" s="5" t="inlineStr">
        <is>
          <t>Basis</t>
        </is>
      </c>
    </row>
    <row r="4" ht="25" customHeight="1" s="23">
      <c r="A4" s="6" t="inlineStr">
        <is>
          <t>L1</t>
        </is>
      </c>
      <c r="B4" s="6" t="inlineStr">
        <is>
          <t>Recognition layer</t>
        </is>
      </c>
      <c r="C4" s="6" t="inlineStr">
        <is>
          <t>Code check: the filter options are computed after each search but never rendered, so users cannot narrow the set by place or year.</t>
        </is>
      </c>
      <c r="D4" s="6" t="inlineStr">
        <is>
          <t>S6 (asked to narrow down)</t>
        </is>
      </c>
      <c r="E4" s="6" t="inlineStr">
        <is>
          <t>High</t>
        </is>
      </c>
      <c r="F4" s="6" t="inlineStr">
        <is>
          <t>Render the filters, and recommend the one most likely to help instead of listing all.</t>
        </is>
      </c>
      <c r="G4" s="35" t="inlineStr">
        <is>
          <t>Code check</t>
        </is>
      </c>
    </row>
    <row r="5" ht="25" customHeight="1" s="23">
      <c r="A5" s="6" t="inlineStr">
        <is>
          <t>L2</t>
        </is>
      </c>
      <c r="B5" s="6" t="inlineStr">
        <is>
          <t>Express</t>
        </is>
      </c>
      <c r="C5" s="6" t="inlineStr">
        <is>
          <t>Plain-word rules miss real phrasing ("parents", "Lonavala"). A wrong clue can also hard-filter everything out ("friends" in S2).</t>
        </is>
      </c>
      <c r="D5" s="6" t="inlineStr">
        <is>
          <t>S2, S4, S5</t>
        </is>
      </c>
      <c r="E5" s="6" t="inlineStr">
        <is>
          <t>High</t>
        </is>
      </c>
      <c r="F5" s="6" t="inlineStr">
        <is>
          <t>Use an LLM to read the memory; treat uncertain clues as soft signals and confirm before filtering.</t>
        </is>
      </c>
      <c r="G5" s="37" t="inlineStr">
        <is>
          <t>Simulated</t>
        </is>
      </c>
    </row>
    <row r="6" ht="25" customHeight="1" s="23">
      <c r="A6" s="6" t="inlineStr">
        <is>
          <t>L3</t>
        </is>
      </c>
      <c r="B6" s="6" t="inlineStr">
        <is>
          <t>Recover</t>
        </is>
      </c>
      <c r="C6" s="6" t="inlineStr">
        <is>
          <t>The recovery list has 6 to 10 unranked categories. Users did not know which one mattered.</t>
        </is>
      </c>
      <c r="D6" s="6" t="inlineStr">
        <is>
          <t>S2, S3, S5</t>
        </is>
      </c>
      <c r="E6" s="6" t="inlineStr">
        <is>
          <t>High</t>
        </is>
      </c>
      <c r="F6" s="6" t="inlineStr">
        <is>
          <t>Offer 2 or 3 ranked recovery actions based on what was already tried, and say why.</t>
        </is>
      </c>
      <c r="G6" s="37" t="inlineStr">
        <is>
          <t>Simulated</t>
        </is>
      </c>
    </row>
    <row r="7">
      <c r="A7" s="6" t="inlineStr">
        <is>
          <t>L4</t>
        </is>
      </c>
      <c r="B7" s="6" t="inlineStr">
        <is>
          <t>Match</t>
        </is>
      </c>
      <c r="C7" s="6" t="inlineStr">
        <is>
          <t>When the clues are read right (S1, S4), users finish in under a minute. The loop works.</t>
        </is>
      </c>
      <c r="D7" s="6" t="inlineStr">
        <is>
          <t>S1, S4</t>
        </is>
      </c>
      <c r="E7" s="6" t="inlineStr">
        <is>
          <t>Info</t>
        </is>
      </c>
      <c r="F7" s="6" t="inlineStr">
        <is>
          <t>Keep the loop; fix Express and Recover first.</t>
        </is>
      </c>
      <c r="G7" s="37" t="inlineStr">
        <is>
          <t>Simulated</t>
        </is>
      </c>
    </row>
    <row r="8">
      <c r="A8" s="6" t="inlineStr">
        <is>
          <t>L5</t>
        </is>
      </c>
      <c r="B8" s="6" t="inlineStr">
        <is>
          <t>Match</t>
        </is>
      </c>
      <c r="C8" s="6" t="inlineStr">
        <is>
          <t>Only 6 of 12 photos in the best group are shown, and several photos look alike, so users inspected 8 to 11 photos or gave up.</t>
        </is>
      </c>
      <c r="D8" s="6" t="inlineStr">
        <is>
          <t>S3, S5, S6</t>
        </is>
      </c>
      <c r="E8" s="6" t="inlineStr">
        <is>
          <t>Medium</t>
        </is>
      </c>
      <c r="F8" s="6" t="inlineStr">
        <is>
          <t>Improve ranking so the intended photo is in the first 3.</t>
        </is>
      </c>
      <c r="G8" s="37" t="inlineStr">
        <is>
          <t>Code check + simulated</t>
        </is>
      </c>
    </row>
    <row r="9">
      <c r="A9" s="6" t="inlineStr">
        <is>
          <t>L6</t>
        </is>
      </c>
      <c r="B9" s="6" t="inlineStr">
        <is>
          <t>Measurement</t>
        </is>
      </c>
      <c r="C9" s="6" t="inlineStr">
        <is>
          <t>V1 records no time, inspections or recovery steps; a facilitator logged them by hand.</t>
        </is>
      </c>
      <c r="D9" s="6" t="inlineStr">
        <is>
          <t>All</t>
        </is>
      </c>
      <c r="E9" s="6" t="inlineStr">
        <is>
          <t>Medium</t>
        </is>
      </c>
      <c r="F9" s="6" t="inlineStr">
        <is>
          <t>Log session events in the app.</t>
        </is>
      </c>
      <c r="G9" s="35" t="inlineStr">
        <is>
          <t>Code check</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9"/>
  <sheetViews>
    <sheetView workbookViewId="0">
      <pane ySplit="3" topLeftCell="A4" activePane="bottomLeft" state="frozen"/>
      <selection pane="bottomLeft" activeCell="C9" sqref="C9"/>
    </sheetView>
  </sheetViews>
  <sheetFormatPr baseColWidth="8" defaultRowHeight="14.5"/>
  <cols>
    <col width="28" customWidth="1" style="23" min="1" max="1"/>
    <col width="32" customWidth="1" style="23" min="2" max="2"/>
    <col width="48" customWidth="1" style="23" min="3" max="3"/>
    <col width="32" customWidth="1" style="23" min="4" max="4"/>
    <col width="44" customWidth="1" style="23" min="5" max="5"/>
    <col width="38" customWidth="1" style="23" min="6" max="6"/>
    <col width="40" customWidth="1" style="23" min="7" max="7"/>
    <col width="60" customWidth="1" style="23" min="8" max="8"/>
    <col width="16" customWidth="1" style="23" min="9" max="9"/>
    <col width="24" customWidth="1" style="23" min="10" max="10"/>
  </cols>
  <sheetData>
    <row r="1">
      <c r="A1" s="39" t="inlineStr">
        <is>
          <t>SIMULATED EXAMPLE. Illustrative test format, not real user data. No V2 has been built or tested. Rows marked "Code check" come from reading the V1 source code.</t>
        </is>
      </c>
    </row>
    <row r="3">
      <c r="A3" s="5" t="inlineStr">
        <is>
          <t>V1 feature</t>
        </is>
      </c>
      <c r="B3" s="5" t="inlineStr">
        <is>
          <t>Test / observation</t>
        </is>
      </c>
      <c r="C3" s="5" t="inlineStr">
        <is>
          <t>What we saw</t>
        </is>
      </c>
      <c r="D3" s="5" t="inlineStr">
        <is>
          <t>Learning to validate</t>
        </is>
      </c>
      <c r="E3" s="5" t="inlineStr">
        <is>
          <t>What it means</t>
        </is>
      </c>
      <c r="F3" s="5" t="inlineStr">
        <is>
          <t>V2 direction</t>
        </is>
      </c>
      <c r="G3" s="15" t="inlineStr">
        <is>
          <t>V2 built</t>
        </is>
      </c>
      <c r="H3" s="28" t="inlineStr">
        <is>
          <t xml:space="preserve">V2 result </t>
        </is>
      </c>
      <c r="I3" s="15" t="inlineStr">
        <is>
          <t>Status</t>
        </is>
      </c>
      <c r="J3" s="34" t="inlineStr">
        <is>
          <t>Basis</t>
        </is>
      </c>
    </row>
    <row r="4" ht="25" customHeight="1" s="23">
      <c r="A4" s="6" t="inlineStr">
        <is>
          <t>Natural-language memory input</t>
        </is>
      </c>
      <c r="B4" s="6" t="inlineStr">
        <is>
          <t>Can users describe the photo naturally?</t>
        </is>
      </c>
      <c r="C4" s="6" t="inlineStr">
        <is>
          <t>Users described photos naturally, but 3 of 6 sessions had a clue missed or misread.</t>
        </is>
      </c>
      <c r="D4" s="6" t="inlineStr">
        <is>
          <t>Which clues are easiest and hardest to interpret?</t>
        </is>
      </c>
      <c r="E4" s="6" t="inlineStr">
        <is>
          <t>Place names and relationships outside the rule list fail.</t>
        </is>
      </c>
      <c r="F4" s="6" t="inlineStr">
        <is>
          <t>Improve context extraction (LLM, soft filters)</t>
        </is>
      </c>
      <c r="G4" s="41" t="inlineStr">
        <is>
          <t>LLM reads the memory; soft clues; editable chips</t>
        </is>
      </c>
      <c r="H4" s="41" t="inlineStr">
        <is>
          <t>Clues read correctly 50% to 100% (3 of 6 to 6 of 6). Failures in V1 (friends, parents, Lonavala) did not recur.</t>
        </is>
      </c>
      <c r="I4" s="41" t="inlineStr">
        <is>
          <t>Improved</t>
        </is>
      </c>
      <c r="J4" s="37" t="inlineStr">
        <is>
          <t>Simulated</t>
        </is>
      </c>
    </row>
    <row r="5" ht="25" customHeight="1" s="23">
      <c r="A5" s="6" t="inlineStr">
        <is>
          <t>Contextual candidate retrieval</t>
        </is>
      </c>
      <c r="B5" s="6" t="inlineStr">
        <is>
          <t>Are returned candidates relevant enough?</t>
        </is>
      </c>
      <c r="C5" s="6" t="inlineStr">
        <is>
          <t>Good when clues are right (S1, S4); poor when one clue is wrong (S2, S5).</t>
        </is>
      </c>
      <c r="D5" s="6" t="inlineStr">
        <is>
          <t>Which clue combinations work?</t>
        </is>
      </c>
      <c r="E5" s="6" t="inlineStr">
        <is>
          <t>One wrong hard filter can empty the set, and only 6 of 12 photos in the best group are shown.</t>
        </is>
      </c>
      <c r="F5" s="6" t="inlineStr">
        <is>
          <t>Improve candidate generation; match softly</t>
        </is>
      </c>
      <c r="G5" s="41" t="inlineStr">
        <is>
          <t>Ranking by clue match; show all photos in the group</t>
        </is>
      </c>
      <c r="H5" s="41" t="inlineStr">
        <is>
          <t>Photos inspected 7.0 to 4.5; first-attempt success 33% to 67%; median time 96 s to 52 s. Overall success unchanged at 5 of 6.</t>
        </is>
      </c>
      <c r="I5" s="41" t="inlineStr">
        <is>
          <t>Improved</t>
        </is>
      </c>
      <c r="J5" s="37" t="inlineStr">
        <is>
          <t>Code check + simulated</t>
        </is>
      </c>
    </row>
    <row r="6" ht="25" customHeight="1" s="23">
      <c r="A6" s="6" t="inlineStr">
        <is>
          <t>Dynamic candidate filters</t>
        </is>
      </c>
      <c r="B6" s="6" t="inlineStr">
        <is>
          <t>Can users recognise the photo faster?</t>
        </is>
      </c>
      <c r="C6" s="6" t="inlineStr">
        <is>
          <t>Not testable in V1: filters are not shown.</t>
        </is>
      </c>
      <c r="D6" s="6" t="inlineStr">
        <is>
          <t>Which filters help recognition?</t>
        </is>
      </c>
      <c r="E6" s="6" t="inlineStr">
        <is>
          <t>A user asked to narrow down (S6).</t>
        </is>
      </c>
      <c r="F6" s="6" t="inlineStr">
        <is>
          <t>Show and personalise filters</t>
        </is>
      </c>
      <c r="G6" s="41" t="inlineStr">
        <is>
          <t>Filter chips shown only when they split the set</t>
        </is>
      </c>
      <c r="H6" s="41" t="inlineStr">
        <is>
          <t>Used in 3 of 6 sessions; helped in 2 (S11 time of day), no help in S12 (all candidates in Goa).</t>
        </is>
      </c>
      <c r="I6" s="41" t="inlineStr">
        <is>
          <t>Partly improved</t>
        </is>
      </c>
      <c r="J6" s="37" t="inlineStr">
        <is>
          <t>Code check + simulated</t>
        </is>
      </c>
    </row>
    <row r="7" ht="25" customHeight="1" s="23">
      <c r="A7" s="6" t="inlineStr">
        <is>
          <t>Guided recovery</t>
        </is>
      </c>
      <c r="B7" s="6" t="inlineStr">
        <is>
          <t>What do users do after the first attempt fails?</t>
        </is>
      </c>
      <c r="C7" s="6" t="inlineStr">
        <is>
          <t>4 of 4 failed first attempts used recovery; 3 of 4 then found the photo.</t>
        </is>
      </c>
      <c r="D7" s="6" t="inlineStr">
        <is>
          <t>Which suggestions help users progress?</t>
        </is>
      </c>
      <c r="E7" s="6" t="inlineStr">
        <is>
          <t>A long unranked list did not help; specific signals (Guitar, Waterfall) did.</t>
        </is>
      </c>
      <c r="F7" s="6" t="inlineStr">
        <is>
          <t>Rank recovery actions by context</t>
        </is>
      </c>
      <c r="G7" s="41" t="inlineStr">
        <is>
          <t>2 or 3 ranked recovery actions with a reason</t>
        </is>
      </c>
      <c r="H7" s="41" t="inlineStr">
        <is>
          <t>Recovery needed in 2 of 6 sessions (V1: 4 of 6). Recovery rate 75% to 50% but on 4 and 2 cases: inconclusive.</t>
        </is>
      </c>
      <c r="I7" s="41" t="inlineStr">
        <is>
          <t>Inconclusive</t>
        </is>
      </c>
      <c r="J7" s="37" t="inlineStr">
        <is>
          <t>Simulated</t>
        </is>
      </c>
    </row>
    <row r="8" ht="25" customHeight="1" s="23">
      <c r="A8" s="16" t="inlineStr">
        <is>
          <t>(New) Session logging</t>
        </is>
      </c>
      <c r="B8" s="16" t="inlineStr">
        <is>
          <t>Time, photos opened and recovery steps were hand-timed in V1</t>
        </is>
      </c>
      <c r="C8" s="16" t="inlineStr">
        <is>
          <t>Logged in the app for all 6 V2 sessions</t>
        </is>
      </c>
      <c r="D8" s="16" t="inlineStr">
        <is>
          <t>Which measures are reliable?</t>
        </is>
      </c>
      <c r="E8" s="16" t="inlineStr">
        <is>
          <t>Hand timing was coarse</t>
        </is>
      </c>
      <c r="F8" s="16" t="inlineStr">
        <is>
          <t>Keep logging; add the intended photo ID</t>
        </is>
      </c>
      <c r="G8" s="41" t="inlineStr">
        <is>
          <t>Event log in the app</t>
        </is>
      </c>
      <c r="H8" s="41" t="inlineStr">
        <is>
          <t>No hand timing needed in V2.</t>
        </is>
      </c>
      <c r="I8" s="41" t="inlineStr">
        <is>
          <t>Improved</t>
        </is>
      </c>
      <c r="J8" s="37" t="inlineStr">
        <is>
          <t>Simulated</t>
        </is>
      </c>
    </row>
    <row r="9" ht="25" customHeight="1" s="23">
      <c r="A9" s="16" t="inlineStr">
        <is>
          <t>(New finding) Near-identical photos</t>
        </is>
      </c>
      <c r="B9" s="16" t="inlineStr">
        <is>
          <t>Did users pick the right photo when two look alike?</t>
        </is>
      </c>
      <c r="C9" s="16" t="inlineStr">
        <is>
          <t>S12: confident wrong pick (confidence 4)</t>
        </is>
      </c>
      <c r="D9" s="16" t="inlineStr">
        <is>
          <t>Does the loop create false confidence?</t>
        </is>
      </c>
      <c r="E9" s="16" t="inlineStr">
        <is>
          <t>Finishing fast is not the same as finding the right photo</t>
        </is>
      </c>
      <c r="F9" s="16" t="inlineStr">
        <is>
          <t>Explain matches and differences before the user confirms</t>
        </is>
      </c>
      <c r="G9" s="41" t="inlineStr">
        <is>
          <t>Not built</t>
        </is>
      </c>
      <c r="H9" s="41" t="inlineStr">
        <is>
          <t>New failure in V2, not a V1 finding.</t>
        </is>
      </c>
      <c r="I9" s="41" t="inlineStr">
        <is>
          <t>New</t>
        </is>
      </c>
      <c r="J9" s="37" t="inlineStr">
        <is>
          <t>Simulated</t>
        </is>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pane ySplit="3" topLeftCell="A4" activePane="bottomLeft" state="frozen"/>
      <selection pane="bottomLeft" activeCell="C13" sqref="C13"/>
    </sheetView>
  </sheetViews>
  <sheetFormatPr baseColWidth="8" defaultRowHeight="14.5"/>
  <cols>
    <col width="10" customWidth="1" style="23" min="1" max="1"/>
    <col width="18" customWidth="1" style="23" min="2" max="2"/>
    <col width="46" customWidth="1" style="23" min="3" max="3"/>
    <col width="70" customWidth="1" style="23" min="4" max="4"/>
    <col width="18" customWidth="1" style="23" min="5" max="5"/>
  </cols>
  <sheetData>
    <row r="1">
      <c r="A1" s="39" t="inlineStr">
        <is>
          <t>SIMULATED EXAMPLE. Illustrative test format, not real user data. No V2 has been built or tested. Rows marked "Code check" come from reading the V1 source code.</t>
        </is>
      </c>
    </row>
    <row r="3">
      <c r="A3" s="15" t="inlineStr">
        <is>
          <t>Learning</t>
        </is>
      </c>
      <c r="B3" s="15" t="inlineStr">
        <is>
          <t>Journey stage</t>
        </is>
      </c>
      <c r="C3" s="15" t="inlineStr">
        <is>
          <t>V1 problem</t>
        </is>
      </c>
      <c r="D3" s="15" t="inlineStr">
        <is>
          <t>What V2 changed</t>
        </is>
      </c>
      <c r="E3" s="15" t="inlineStr">
        <is>
          <t>Status</t>
        </is>
      </c>
      <c r="F3" s="34" t="inlineStr">
        <is>
          <t>Basis</t>
        </is>
      </c>
    </row>
    <row r="4" ht="25" customHeight="1" s="23">
      <c r="A4" s="16" t="inlineStr">
        <is>
          <t>L1</t>
        </is>
      </c>
      <c r="B4" s="16" t="inlineStr">
        <is>
          <t>Recognition layer</t>
        </is>
      </c>
      <c r="C4" s="16" t="inlineStr">
        <is>
          <t>Filters were computed but never shown</t>
        </is>
      </c>
      <c r="D4" s="16" t="inlineStr">
        <is>
          <t>Show filter chips (place, year, people) only when they split the candidate set; highlight the one that splits it most</t>
        </is>
      </c>
      <c r="E4" s="16" t="inlineStr">
        <is>
          <t>Built (simulated)</t>
        </is>
      </c>
      <c r="F4" s="37" t="inlineStr">
        <is>
          <t>Simulated</t>
        </is>
      </c>
    </row>
    <row r="5" ht="25" customHeight="1" s="23">
      <c r="A5" s="16" t="inlineStr">
        <is>
          <t>L2</t>
        </is>
      </c>
      <c r="B5" s="16" t="inlineStr">
        <is>
          <t>Express</t>
        </is>
      </c>
      <c r="C5" s="16" t="inlineStr">
        <is>
          <t>Rule-based clue reading missed phrasing and hard-filtered on wrong clues</t>
        </is>
      </c>
      <c r="D5" s="16" t="inlineStr">
        <is>
          <t>LLM reads the memory; uncertain clues become soft ranking signals; clue chips are editable</t>
        </is>
      </c>
      <c r="E5" s="16" t="inlineStr">
        <is>
          <t>Built (simulated)</t>
        </is>
      </c>
      <c r="F5" s="37" t="inlineStr">
        <is>
          <t>Simulated</t>
        </is>
      </c>
    </row>
    <row r="6">
      <c r="A6" s="16" t="inlineStr">
        <is>
          <t>L3</t>
        </is>
      </c>
      <c r="B6" s="16" t="inlineStr">
        <is>
          <t>Recover</t>
        </is>
      </c>
      <c r="C6" s="16" t="inlineStr">
        <is>
          <t>Long unranked list of recovery categories</t>
        </is>
      </c>
      <c r="D6" s="16" t="inlineStr">
        <is>
          <t>2 or 3 ranked recovery actions from what was already tried, each with a reason</t>
        </is>
      </c>
      <c r="E6" s="16" t="inlineStr">
        <is>
          <t>Built (simulated)</t>
        </is>
      </c>
      <c r="F6" s="37" t="inlineStr">
        <is>
          <t>Simulated</t>
        </is>
      </c>
    </row>
    <row r="7">
      <c r="A7" s="16" t="inlineStr">
        <is>
          <t>L4</t>
        </is>
      </c>
      <c r="B7" s="16" t="inlineStr">
        <is>
          <t>Match</t>
        </is>
      </c>
      <c r="C7" s="16" t="inlineStr">
        <is>
          <t>Loop works when clues are right</t>
        </is>
      </c>
      <c r="D7" s="16" t="inlineStr">
        <is>
          <t>Kept as is</t>
        </is>
      </c>
      <c r="E7" s="16" t="inlineStr">
        <is>
          <t>Kept</t>
        </is>
      </c>
      <c r="F7" s="37" t="inlineStr">
        <is>
          <t>Simulated</t>
        </is>
      </c>
    </row>
    <row r="8" ht="25" customHeight="1" s="23">
      <c r="A8" s="16" t="inlineStr">
        <is>
          <t>L5</t>
        </is>
      </c>
      <c r="B8" s="16" t="inlineStr">
        <is>
          <t>Match</t>
        </is>
      </c>
      <c r="C8" s="16" t="inlineStr">
        <is>
          <t>Only 6 of 12 photos in the best group were shown; too many similar photos</t>
        </is>
      </c>
      <c r="D8" s="16" t="inlineStr">
        <is>
          <t>Rank by clue match; add "Show all in this group"</t>
        </is>
      </c>
      <c r="E8" s="16" t="inlineStr">
        <is>
          <t>Built (simulated)</t>
        </is>
      </c>
      <c r="F8" s="37" t="inlineStr">
        <is>
          <t>Simulated</t>
        </is>
      </c>
    </row>
    <row r="9">
      <c r="A9" s="16" t="inlineStr">
        <is>
          <t>L6</t>
        </is>
      </c>
      <c r="B9" s="16" t="inlineStr">
        <is>
          <t>Measurement</t>
        </is>
      </c>
      <c r="C9" s="16" t="inlineStr">
        <is>
          <t>No time, inspection or recovery logging</t>
        </is>
      </c>
      <c r="D9" s="16" t="inlineStr">
        <is>
          <t>Log session events in the app (time, photos opened, recovery steps)</t>
        </is>
      </c>
      <c r="E9" s="16" t="inlineStr">
        <is>
          <t>Built (simulated)</t>
        </is>
      </c>
      <c r="F9" s="37" t="inlineStr">
        <is>
          <t>Simulated</t>
        </is>
      </c>
    </row>
  </sheetData>
  <mergeCells count="1">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9"/>
  <sheetViews>
    <sheetView topLeftCell="H1" workbookViewId="0">
      <pane ySplit="3" topLeftCell="A4" activePane="bottomLeft" state="frozen"/>
      <selection pane="bottomLeft" activeCell="N3" sqref="N3"/>
    </sheetView>
  </sheetViews>
  <sheetFormatPr baseColWidth="8" defaultRowHeight="14.5"/>
  <cols>
    <col width="9" customWidth="1" style="23" min="1" max="1"/>
    <col width="7" customWidth="1" style="23" min="2" max="3"/>
    <col width="40" customWidth="1" style="23" min="4" max="4"/>
    <col width="14" customWidth="1" style="23" min="5" max="7"/>
    <col width="12" customWidth="1" style="23" min="8" max="8"/>
    <col width="13" customWidth="1" style="23" min="9" max="9"/>
    <col width="14" customWidth="1" style="23" min="10" max="11"/>
    <col width="12" customWidth="1" style="23" min="12" max="12"/>
    <col width="26" customWidth="1" style="23" min="13" max="13"/>
    <col width="72" customWidth="1" style="23" min="14" max="14"/>
    <col width="14" customWidth="1" style="23" min="15" max="15"/>
    <col width="14" customWidth="1" style="23" min="16" max="16"/>
    <col width="44" customWidth="1" style="23" min="17" max="17"/>
  </cols>
  <sheetData>
    <row r="1">
      <c r="A1" s="39" t="inlineStr">
        <is>
          <t>SIMULATED EXAMPLE. Illustrative test format, not real user data. No V2 has been built or tested. Rows marked "Code check" come from reading the V1 source code.</t>
        </is>
      </c>
    </row>
    <row r="3" ht="26" customHeight="1" s="23">
      <c r="A3" s="15" t="inlineStr">
        <is>
          <t>Session</t>
        </is>
      </c>
      <c r="B3" s="15" t="inlineStr">
        <is>
          <t>User</t>
        </is>
      </c>
      <c r="C3" s="15" t="inlineStr">
        <is>
          <t>Task</t>
        </is>
      </c>
      <c r="D3" s="28" t="inlineStr">
        <is>
          <t>Query typed</t>
        </is>
      </c>
      <c r="E3" s="15" t="inlineStr">
        <is>
          <t>Clues read correctly</t>
        </is>
      </c>
      <c r="F3" s="15" t="inlineStr">
        <is>
          <t>First attempt found it</t>
        </is>
      </c>
      <c r="G3" s="15" t="inlineStr">
        <is>
          <t>Recovery used (count)</t>
        </is>
      </c>
      <c r="H3" s="15" t="inlineStr">
        <is>
          <t>Strategy switches</t>
        </is>
      </c>
      <c r="I3" s="15" t="inlineStr">
        <is>
          <t>Candidates inspected</t>
        </is>
      </c>
      <c r="J3" s="15" t="inlineStr">
        <is>
          <t>Time to retrieval (s)</t>
        </is>
      </c>
      <c r="K3" s="15" t="inlineStr">
        <is>
          <t>Found intended photo</t>
        </is>
      </c>
      <c r="L3" s="15" t="inlineStr">
        <is>
          <t>Confidence (1-5)</t>
        </is>
      </c>
      <c r="M3" s="15" t="inlineStr">
        <is>
          <t>V2 features used</t>
        </is>
      </c>
      <c r="N3" s="28" t="inlineStr">
        <is>
          <t xml:space="preserve">Observation </t>
        </is>
      </c>
      <c r="O3" s="34" t="inlineStr">
        <is>
          <t>Intended photo ID</t>
        </is>
      </c>
      <c r="P3" s="34" t="inlineStr">
        <is>
          <t>Photo picked ID</t>
        </is>
      </c>
      <c r="Q3" s="34" t="inlineStr">
        <is>
          <t>Participant quote (simulated)</t>
        </is>
      </c>
    </row>
    <row r="4">
      <c r="A4" s="16" t="inlineStr">
        <is>
          <t>S7</t>
        </is>
      </c>
      <c r="B4" s="16" t="inlineStr">
        <is>
          <t>U4</t>
        </is>
      </c>
      <c r="C4" s="16" t="inlineStr">
        <is>
          <t>T1</t>
        </is>
      </c>
      <c r="D4" s="27" t="inlineStr">
        <is>
          <t>beach cafe with my cousin sunset goa</t>
        </is>
      </c>
      <c r="E4" s="27" t="inlineStr">
        <is>
          <t>Yes</t>
        </is>
      </c>
      <c r="F4" s="27" t="inlineStr">
        <is>
          <t>Yes</t>
        </is>
      </c>
      <c r="G4" s="27" t="n">
        <v>0</v>
      </c>
      <c r="H4" s="27" t="n">
        <v>0</v>
      </c>
      <c r="I4" s="27" t="n">
        <v>2</v>
      </c>
      <c r="J4" s="27" t="n">
        <v>31</v>
      </c>
      <c r="K4" s="37">
        <f>IF(P4=O4,"Yes","No")</f>
        <v/>
      </c>
      <c r="L4" s="27" t="n">
        <v>5</v>
      </c>
      <c r="M4" s="27" t="inlineStr">
        <is>
          <t>None needed</t>
        </is>
      </c>
      <c r="N4" s="27" t="inlineStr">
        <is>
          <t>Photo was in the first three. Editable clue chips were read but not changed.</t>
        </is>
      </c>
      <c r="O4" s="37">
        <f>VLOOKUP(C4,Tasks!$A$2:$G$7,7,FALSE)</f>
        <v/>
      </c>
      <c r="P4" s="37" t="n">
        <v>101</v>
      </c>
      <c r="Q4" s="37" t="inlineStr">
        <is>
          <t>"Oh, that was quick."</t>
        </is>
      </c>
    </row>
    <row r="5" ht="25" customHeight="1" s="23">
      <c r="A5" s="16" t="inlineStr">
        <is>
          <t>S8</t>
        </is>
      </c>
      <c r="B5" s="16" t="inlineStr">
        <is>
          <t>U4</t>
        </is>
      </c>
      <c r="C5" s="16" t="inlineStr">
        <is>
          <t>T4</t>
        </is>
      </c>
      <c r="D5" s="27" t="inlineStr">
        <is>
          <t>hidden waterfall with friends</t>
        </is>
      </c>
      <c r="E5" s="27" t="inlineStr">
        <is>
          <t>Yes</t>
        </is>
      </c>
      <c r="F5" s="27" t="inlineStr">
        <is>
          <t>Yes</t>
        </is>
      </c>
      <c r="G5" s="27" t="n">
        <v>0</v>
      </c>
      <c r="H5" s="27" t="n">
        <v>0</v>
      </c>
      <c r="I5" s="27" t="n">
        <v>4</v>
      </c>
      <c r="J5" s="27" t="n">
        <v>58</v>
      </c>
      <c r="K5" s="37">
        <f>IF(P5=O5,"Yes","No")</f>
        <v/>
      </c>
      <c r="L5" s="27" t="n">
        <v>4</v>
      </c>
      <c r="M5" s="27" t="inlineStr">
        <is>
          <t>Clue chips</t>
        </is>
      </c>
      <c r="N5" s="27" t="inlineStr">
        <is>
          <t>"friends" was kept as a soft signal and marked low match, so the waterfall photos still appeared. This was the failure in V1 (S2).</t>
        </is>
      </c>
      <c r="O5" s="37">
        <f>VLOOKUP(C5,Tasks!$A$2:$G$7,7,FALSE)</f>
        <v/>
      </c>
      <c r="P5" s="37" t="n">
        <v>138</v>
      </c>
      <c r="Q5" s="37" t="inlineStr">
        <is>
          <t>"It kept the waterfalls even though I said friends."</t>
        </is>
      </c>
    </row>
    <row r="6">
      <c r="A6" s="16" t="inlineStr">
        <is>
          <t>S9</t>
        </is>
      </c>
      <c r="B6" s="16" t="inlineStr">
        <is>
          <t>U5</t>
        </is>
      </c>
      <c r="C6" s="16" t="inlineStr">
        <is>
          <t>T3</t>
        </is>
      </c>
      <c r="D6" s="27" t="inlineStr">
        <is>
          <t>night party goa beach with my college friends</t>
        </is>
      </c>
      <c r="E6" s="27" t="inlineStr">
        <is>
          <t>Yes</t>
        </is>
      </c>
      <c r="F6" s="27" t="inlineStr">
        <is>
          <t>Yes</t>
        </is>
      </c>
      <c r="G6" s="27" t="n">
        <v>0</v>
      </c>
      <c r="H6" s="27" t="n">
        <v>0</v>
      </c>
      <c r="I6" s="27" t="n">
        <v>5</v>
      </c>
      <c r="J6" s="27" t="n">
        <v>52</v>
      </c>
      <c r="K6" s="37">
        <f>IF(P6=O6,"Yes","No")</f>
        <v/>
      </c>
      <c r="L6" s="27" t="n">
        <v>4</v>
      </c>
      <c r="M6" s="27" t="inlineStr">
        <is>
          <t>Show all in group</t>
        </is>
      </c>
      <c r="N6" s="27" t="inlineStr">
        <is>
          <t>The guitar photo was outside the first 6 in V1; "Show all in this group" surfaced it.</t>
        </is>
      </c>
      <c r="O6" s="37">
        <f>VLOOKUP(C6,Tasks!$A$2:$G$7,7,FALSE)</f>
        <v/>
      </c>
      <c r="P6" s="37" t="n">
        <v>130</v>
      </c>
      <c r="Q6" s="37" t="inlineStr">
        <is>
          <t>"Show all was what I was missing."</t>
        </is>
      </c>
    </row>
    <row r="7">
      <c r="A7" s="16" t="inlineStr">
        <is>
          <t>S10</t>
        </is>
      </c>
      <c r="B7" s="16" t="inlineStr">
        <is>
          <t>U5</t>
        </is>
      </c>
      <c r="C7" s="16" t="inlineStr">
        <is>
          <t>T5</t>
        </is>
      </c>
      <c r="D7" s="27" t="inlineStr">
        <is>
          <t>boat ride kerala backwaters with my parents</t>
        </is>
      </c>
      <c r="E7" s="27" t="inlineStr">
        <is>
          <t>Yes</t>
        </is>
      </c>
      <c r="F7" s="27" t="inlineStr">
        <is>
          <t>Yes</t>
        </is>
      </c>
      <c r="G7" s="27" t="n">
        <v>0</v>
      </c>
      <c r="H7" s="27" t="n">
        <v>0</v>
      </c>
      <c r="I7" s="27" t="n">
        <v>3</v>
      </c>
      <c r="J7" s="27" t="n">
        <v>37</v>
      </c>
      <c r="K7" s="37">
        <f>IF(P7=O7,"Yes","No")</f>
        <v/>
      </c>
      <c r="L7" s="27" t="n">
        <v>5</v>
      </c>
      <c r="M7" s="27" t="inlineStr">
        <is>
          <t>None needed</t>
        </is>
      </c>
      <c r="N7" s="27" t="inlineStr">
        <is>
          <t>"parents" was read as family.</t>
        </is>
      </c>
      <c r="O7" s="37">
        <f>VLOOKUP(C7,Tasks!$A$2:$G$7,7,FALSE)</f>
        <v/>
      </c>
      <c r="P7" s="37" t="n">
        <v>150</v>
      </c>
      <c r="Q7" s="37" t="inlineStr">
        <is>
          <t>"Straight to it."</t>
        </is>
      </c>
    </row>
    <row r="8" ht="25" customHeight="1" s="23">
      <c r="A8" s="16" t="inlineStr">
        <is>
          <t>S11</t>
        </is>
      </c>
      <c r="B8" s="16" t="inlineStr">
        <is>
          <t>U6</t>
        </is>
      </c>
      <c r="C8" s="16" t="inlineStr">
        <is>
          <t>T2</t>
        </is>
      </c>
      <c r="D8" s="27" t="inlineStr">
        <is>
          <t>trek near lonavala in rain</t>
        </is>
      </c>
      <c r="E8" s="27" t="inlineStr">
        <is>
          <t>Yes</t>
        </is>
      </c>
      <c r="F8" s="27" t="inlineStr">
        <is>
          <t>No</t>
        </is>
      </c>
      <c r="G8" s="27" t="n">
        <v>1</v>
      </c>
      <c r="H8" s="27" t="n">
        <v>1</v>
      </c>
      <c r="I8" s="27" t="n">
        <v>6</v>
      </c>
      <c r="J8" s="27" t="n">
        <v>84</v>
      </c>
      <c r="K8" s="37">
        <f>IF(P8=O8,"Yes","No")</f>
        <v/>
      </c>
      <c r="L8" s="27" t="n">
        <v>3</v>
      </c>
      <c r="M8" s="27" t="inlineStr">
        <is>
          <t>Ranked recovery, filter chips</t>
        </is>
      </c>
      <c r="N8" s="27" t="inlineStr">
        <is>
          <t>Lonavala understood as Maharashtra. First set had several similar hiking photos; took the top recovery action "add time of day: morning".</t>
        </is>
      </c>
      <c r="O8" s="37">
        <f>VLOOKUP(C8,Tasks!$A$2:$G$7,7,FALSE)</f>
        <v/>
      </c>
      <c r="P8" s="37" t="n">
        <v>118</v>
      </c>
      <c r="Q8" s="37" t="inlineStr">
        <is>
          <t>"Adding morning narrowed it down."</t>
        </is>
      </c>
    </row>
    <row r="9" ht="25" customHeight="1" s="23">
      <c r="A9" s="16" t="inlineStr">
        <is>
          <t>S12</t>
        </is>
      </c>
      <c r="B9" s="16" t="inlineStr">
        <is>
          <t>U6</t>
        </is>
      </c>
      <c r="C9" s="16" t="inlineStr">
        <is>
          <t>T6</t>
        </is>
      </c>
      <c r="D9" s="27" t="inlineStr">
        <is>
          <t>hammock sunset</t>
        </is>
      </c>
      <c r="E9" s="27" t="inlineStr">
        <is>
          <t>Yes</t>
        </is>
      </c>
      <c r="F9" s="27" t="inlineStr">
        <is>
          <t>No</t>
        </is>
      </c>
      <c r="G9" s="27" t="n">
        <v>1</v>
      </c>
      <c r="H9" s="27" t="n">
        <v>1</v>
      </c>
      <c r="I9" s="27" t="n">
        <v>7</v>
      </c>
      <c r="J9" s="27" t="n">
        <v>73</v>
      </c>
      <c r="K9" s="37">
        <f>IF(P9=O9,"Yes","No")</f>
        <v/>
      </c>
      <c r="L9" s="27" t="n">
        <v>4</v>
      </c>
      <c r="M9" s="27" t="inlineStr">
        <is>
          <t>Filter chips, ranked recovery</t>
        </is>
      </c>
      <c r="N9" s="27" t="inlineStr">
        <is>
          <t>Picked a near-identical Goa sunset from the cafe scenario, confidently. The place filter did not help because every candidate was in Goa.</t>
        </is>
      </c>
      <c r="O9" s="37">
        <f>VLOOKUP(C9,Tasks!$A$2:$G$7,7,FALSE)</f>
        <v/>
      </c>
      <c r="P9" s="37" t="n">
        <v>104</v>
      </c>
      <c r="Q9" s="37" t="inlineStr">
        <is>
          <t>"That's the one."</t>
        </is>
      </c>
    </row>
  </sheetData>
  <mergeCells count="1">
    <mergeCell ref="A1:N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3" topLeftCell="A4" activePane="bottomLeft" state="frozen"/>
      <selection pane="bottomLeft" activeCell="D12" sqref="D12"/>
    </sheetView>
  </sheetViews>
  <sheetFormatPr baseColWidth="8" defaultRowHeight="14.5"/>
  <cols>
    <col width="8" customWidth="1" style="23" min="1" max="1"/>
    <col width="14" customWidth="1" style="23" min="2" max="2"/>
    <col width="26" customWidth="1" style="23" min="3" max="3"/>
    <col width="22" customWidth="1" style="23" min="4" max="4"/>
    <col width="44" customWidth="1" style="23" min="5" max="5"/>
    <col width="34" customWidth="1" style="23" min="6" max="6"/>
    <col width="12" customWidth="1" style="23" min="7" max="7"/>
  </cols>
  <sheetData>
    <row r="1">
      <c r="A1" s="39" t="inlineStr">
        <is>
          <t>SIMULATED EXAMPLE. Illustrative test format, not real user data. No V2 has been built or tested. Rows marked "Code check" come from reading the V1 source code.</t>
        </is>
      </c>
    </row>
    <row r="3">
      <c r="A3" s="15" t="inlineStr">
        <is>
          <t>User</t>
        </is>
      </c>
      <c r="B3" s="15" t="inlineStr">
        <is>
          <t>Status</t>
        </is>
      </c>
      <c r="C3" s="15" t="inlineStr">
        <is>
          <t>Profile</t>
        </is>
      </c>
      <c r="D3" s="15" t="inlineStr">
        <is>
          <t>Photos use</t>
        </is>
      </c>
      <c r="E3" s="15" t="inlineStr">
        <is>
          <t>Retrieval behaviour (screener)</t>
        </is>
      </c>
      <c r="F3" s="15" t="inlineStr">
        <is>
          <t>Segment match</t>
        </is>
      </c>
      <c r="G3" s="15" t="inlineStr">
        <is>
          <t>Tasks</t>
        </is>
      </c>
    </row>
    <row r="4">
      <c r="A4" s="16" t="inlineStr">
        <is>
          <t>U4</t>
        </is>
      </c>
      <c r="B4" s="16" t="inlineStr">
        <is>
          <t>Simulated</t>
        </is>
      </c>
      <c r="C4" s="16" t="inlineStr">
        <is>
          <t>Working professional, 31</t>
        </is>
      </c>
      <c r="D4" s="16" t="inlineStr">
        <is>
          <t>Google Photos, weekly</t>
        </is>
      </c>
      <c r="E4" s="16" t="inlineStr">
        <is>
          <t>Retries with new words when search fails</t>
        </is>
      </c>
      <c r="F4" s="16" t="inlineStr">
        <is>
          <t>Segment T: effortful-path retriever</t>
        </is>
      </c>
      <c r="G4" s="16" t="inlineStr">
        <is>
          <t>T1, T4</t>
        </is>
      </c>
    </row>
    <row r="5">
      <c r="A5" s="16" t="inlineStr">
        <is>
          <t>U5</t>
        </is>
      </c>
      <c r="B5" s="16" t="inlineStr">
        <is>
          <t>Simulated</t>
        </is>
      </c>
      <c r="C5" s="16" t="inlineStr">
        <is>
          <t>Working professional, 27</t>
        </is>
      </c>
      <c r="D5" s="16" t="inlineStr">
        <is>
          <t>Google Photos, daily</t>
        </is>
      </c>
      <c r="E5" s="16" t="inlineStr">
        <is>
          <t>Scrolls the timeline when search fails</t>
        </is>
      </c>
      <c r="F5" s="16" t="inlineStr">
        <is>
          <t>Segment T: effortful-path retriever</t>
        </is>
      </c>
      <c r="G5" s="16" t="inlineStr">
        <is>
          <t>T3, T5</t>
        </is>
      </c>
    </row>
    <row r="6">
      <c r="A6" s="16" t="inlineStr">
        <is>
          <t>U6</t>
        </is>
      </c>
      <c r="B6" s="16" t="inlineStr">
        <is>
          <t>Simulated</t>
        </is>
      </c>
      <c r="C6" s="16" t="inlineStr">
        <is>
          <t>Graduate student, 25</t>
        </is>
      </c>
      <c r="D6" s="16" t="inlineStr">
        <is>
          <t>Google Photos, weekly</t>
        </is>
      </c>
      <c r="E6" s="16" t="inlineStr">
        <is>
          <t>Gives up after several misses</t>
        </is>
      </c>
      <c r="F6" s="16" t="inlineStr">
        <is>
          <t>Segment T: effortful-path retriever</t>
        </is>
      </c>
      <c r="G6" s="16" t="inlineStr">
        <is>
          <t>T2, T6</t>
        </is>
      </c>
    </row>
  </sheetData>
  <mergeCells count="1">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selection activeCell="A15" sqref="A15"/>
    </sheetView>
  </sheetViews>
  <sheetFormatPr baseColWidth="8" defaultRowHeight="14.5"/>
  <cols>
    <col width="66" customWidth="1" style="23" min="1" max="1"/>
    <col width="10" customWidth="1" style="23" min="2" max="4"/>
    <col width="13" customWidth="1" style="23" min="5" max="5"/>
    <col width="14" customWidth="1" style="23" min="6" max="6"/>
    <col width="52" customWidth="1" style="23" min="7" max="7"/>
  </cols>
  <sheetData>
    <row r="1">
      <c r="A1" s="39" t="inlineStr">
        <is>
          <t>SIMULATED EXAMPLE. Illustrative test format, not real user data. No V2 has been built or tested. Rows marked "Code check" come from reading the V1 source code.</t>
        </is>
      </c>
    </row>
    <row r="3">
      <c r="A3" s="17" t="inlineStr">
        <is>
          <t>Metric</t>
        </is>
      </c>
      <c r="B3" s="17" t="inlineStr">
        <is>
          <t>V1</t>
        </is>
      </c>
      <c r="C3" s="17" t="inlineStr">
        <is>
          <t>V2</t>
        </is>
      </c>
      <c r="D3" s="17" t="inlineStr">
        <is>
          <t>Change</t>
        </is>
      </c>
      <c r="E3" s="17" t="inlineStr">
        <is>
          <t>Better when</t>
        </is>
      </c>
      <c r="F3" s="17" t="inlineStr">
        <is>
          <t>Reading</t>
        </is>
      </c>
      <c r="G3" s="17" t="inlineStr">
        <is>
          <t>Note</t>
        </is>
      </c>
    </row>
    <row r="4">
      <c r="A4" s="8" t="inlineStr">
        <is>
          <t>Retrieval success (% of sessions)</t>
        </is>
      </c>
      <c r="B4" s="9">
        <f>COUNTIF(Sessions!$K$4:$K$9,"Yes")/COUNTA(Sessions!$K$4:$K$9)</f>
        <v/>
      </c>
      <c r="C4" s="9">
        <f>COUNTIF('V2 Sessions'!$K$4:$K$9,"Yes")/COUNTA('V2 Sessions'!$K$4:$K$9)</f>
        <v/>
      </c>
      <c r="D4" s="18">
        <f>C4-B4</f>
        <v/>
      </c>
      <c r="E4" s="10" t="inlineStr">
        <is>
          <t>Higher</t>
        </is>
      </c>
      <c r="F4" s="10">
        <f>IF(D4=0,"No change",IF((D4&gt;0)=(E4="Higher"),"Improved","Worse"))</f>
        <v/>
      </c>
      <c r="G4" s="10" t="inlineStr">
        <is>
          <t>Same 5 of 6: success did not move.</t>
        </is>
      </c>
    </row>
    <row r="5">
      <c r="A5" s="8" t="inlineStr">
        <is>
          <t>First-attempt success (% of sessions)</t>
        </is>
      </c>
      <c r="B5" s="9">
        <f>COUNTIF(Sessions!$F$4:$F$9,"Yes")/COUNTA(Sessions!$F$4:$F$9)</f>
        <v/>
      </c>
      <c r="C5" s="9">
        <f>COUNTIF('V2 Sessions'!$F$4:$F$9,"Yes")/COUNTA('V2 Sessions'!$F$4:$F$9)</f>
        <v/>
      </c>
      <c r="D5" s="18">
        <f>C5-B5</f>
        <v/>
      </c>
      <c r="E5" s="10" t="inlineStr">
        <is>
          <t>Higher</t>
        </is>
      </c>
      <c r="F5" s="10">
        <f>IF(D5=0,"No change",IF((D5&gt;0)=(E5="Higher"),"Improved","Worse"))</f>
        <v/>
      </c>
      <c r="G5" s="10" t="n"/>
    </row>
    <row r="6">
      <c r="A6" s="8" t="inlineStr">
        <is>
          <t>Recovery rate (% of failed first attempts that ended in success)</t>
        </is>
      </c>
      <c r="B6" s="9">
        <f>COUNTIFS(Sessions!$F$4:$F$9,"No",Sessions!$K$4:$K$9,"Yes")/COUNTIF(Sessions!$F$4:$F$9,"No")</f>
        <v/>
      </c>
      <c r="C6" s="9">
        <f>COUNTIFS('V2 Sessions'!$F$4:$F$9,"No",'V2 Sessions'!$K$4:$K$9,"Yes")/COUNTIF('V2 Sessions'!$F$4:$F$9,"No")</f>
        <v/>
      </c>
      <c r="D6" s="18">
        <f>C6-B6</f>
        <v/>
      </c>
      <c r="E6" s="10" t="inlineStr">
        <is>
          <t>Higher</t>
        </is>
      </c>
      <c r="F6" s="10">
        <f>IF(D6=0,"No change",IF((D6&gt;0)=(E6="Higher"),"Improved","Worse"))</f>
        <v/>
      </c>
      <c r="G6" s="10" t="inlineStr">
        <is>
          <t>V1 3 of 4, V2 1 of 2: too few cases to read.</t>
        </is>
      </c>
    </row>
    <row r="7">
      <c r="A7" s="8" t="inlineStr">
        <is>
          <t>Median time to retrieval, successful sessions (s)</t>
        </is>
      </c>
      <c r="B7" s="11">
        <f t="array" ref="B7">MEDIAN(IF(Sessions!$K$4:$K$9="Yes",Sessions!$J$4:$J$9))</f>
        <v/>
      </c>
      <c r="C7" s="11">
        <f t="array" ref="C7">MEDIAN(IF('V2 Sessions'!$K$4:$K$9="Yes",'V2 Sessions'!$J$4:$J$9))</f>
        <v/>
      </c>
      <c r="D7" s="19">
        <f>C7-B7</f>
        <v/>
      </c>
      <c r="E7" s="10" t="inlineStr">
        <is>
          <t>Lower</t>
        </is>
      </c>
      <c r="F7" s="10">
        <f>IF(D7=0,"No change",IF((D7&gt;0)=(E7="Higher"),"Improved","Worse"))</f>
        <v/>
      </c>
      <c r="G7" s="10" t="n"/>
    </row>
    <row r="8">
      <c r="A8" s="8" t="inlineStr">
        <is>
          <t>Average strategy switches per session</t>
        </is>
      </c>
      <c r="B8" s="12">
        <f>AVERAGE(Sessions!$H$4:$H$9)</f>
        <v/>
      </c>
      <c r="C8" s="12">
        <f>AVERAGE('V2 Sessions'!$H$4:$H$9)</f>
        <v/>
      </c>
      <c r="D8" s="20">
        <f>C8-B8</f>
        <v/>
      </c>
      <c r="E8" s="10" t="inlineStr">
        <is>
          <t>Lower</t>
        </is>
      </c>
      <c r="F8" s="10">
        <f>IF(D8=0,"No change",IF((D8&gt;0)=(E8="Higher"),"Improved","Worse"))</f>
        <v/>
      </c>
      <c r="G8" s="10" t="n"/>
    </row>
    <row r="9">
      <c r="A9" s="8" t="inlineStr">
        <is>
          <t>Average candidates inspected per session</t>
        </is>
      </c>
      <c r="B9" s="12">
        <f>AVERAGE(Sessions!$I$4:$I$9)</f>
        <v/>
      </c>
      <c r="C9" s="12">
        <f>AVERAGE('V2 Sessions'!$I$4:$I$9)</f>
        <v/>
      </c>
      <c r="D9" s="20">
        <f>C9-B9</f>
        <v/>
      </c>
      <c r="E9" s="10" t="inlineStr">
        <is>
          <t>Lower</t>
        </is>
      </c>
      <c r="F9" s="10">
        <f>IF(D9=0,"No change",IF((D9&gt;0)=(E9="Higher"),"Improved","Worse"))</f>
        <v/>
      </c>
      <c r="G9" s="10" t="n"/>
    </row>
    <row r="10">
      <c r="A10" s="8" t="inlineStr">
        <is>
          <t>Average recognition confidence (1-5)</t>
        </is>
      </c>
      <c r="B10" s="12">
        <f>AVERAGE(Sessions!$L$4:$L$9)</f>
        <v/>
      </c>
      <c r="C10" s="12">
        <f>AVERAGE('V2 Sessions'!$L$4:$L$9)</f>
        <v/>
      </c>
      <c r="D10" s="20">
        <f>C10-B10</f>
        <v/>
      </c>
      <c r="E10" s="10" t="inlineStr">
        <is>
          <t>Higher</t>
        </is>
      </c>
      <c r="F10" s="10">
        <f>IF(D10=0,"No change",IF((D10&gt;0)=(E10="Higher"),"Improved","Worse"))</f>
        <v/>
      </c>
      <c r="G10" s="10" t="inlineStr">
        <is>
          <t>Includes the confident-wrong session.</t>
        </is>
      </c>
    </row>
    <row r="11">
      <c r="A11" s="8" t="inlineStr">
        <is>
          <t>Clues read correctly (% of sessions)</t>
        </is>
      </c>
      <c r="B11" s="9">
        <f>COUNTIF(Sessions!$E$4:$E$9,"Yes")/COUNTA(Sessions!$E$4:$E$9)</f>
        <v/>
      </c>
      <c r="C11" s="9">
        <f>COUNTIF('V2 Sessions'!$E$4:$E$9,"Yes")/COUNTA('V2 Sessions'!$E$4:$E$9)</f>
        <v/>
      </c>
      <c r="D11" s="18">
        <f>C11-B11</f>
        <v/>
      </c>
      <c r="E11" s="10" t="inlineStr">
        <is>
          <t>Higher</t>
        </is>
      </c>
      <c r="F11" s="10">
        <f>IF(D11=0,"No change",IF((D11&gt;0)=(E11="Higher"),"Improved","Worse"))</f>
        <v/>
      </c>
      <c r="G11" s="10" t="n"/>
    </row>
    <row r="12">
      <c r="A12" s="8" t="inlineStr">
        <is>
          <t>Confident but wrong (sessions with confidence 4+ and wrong photo)</t>
        </is>
      </c>
      <c r="B12" s="11">
        <f>COUNTIFS(Sessions!$K$4:$K$9,"No",Sessions!$L$4:$L$9,"&gt;=4")</f>
        <v/>
      </c>
      <c r="C12" s="11">
        <f>COUNTIFS('V2 Sessions'!$K$4:$K$9,"No",'V2 Sessions'!$L$4:$L$9,"&gt;=4")</f>
        <v/>
      </c>
      <c r="D12" s="19">
        <f>C12-B12</f>
        <v/>
      </c>
      <c r="E12" s="10" t="inlineStr">
        <is>
          <t>Lower</t>
        </is>
      </c>
      <c r="F12" s="10">
        <f>IF(D12=0,"No change",IF((D12&gt;0)=(E12="Higher"),"Improved","Worse"))</f>
        <v/>
      </c>
      <c r="G12" s="10" t="inlineStr">
        <is>
          <t>New in V2 (S12): near-identical photos.</t>
        </is>
      </c>
    </row>
    <row r="14">
      <c r="A14" s="21" t="inlineStr">
        <is>
          <t>V1 and V2 used different simulated users on the same 6 tasks (S1-S6 vs S7-S12). With 3 users each session is worth about 17 points, so read the pattern, not the exact size.</t>
        </is>
      </c>
    </row>
  </sheetData>
  <mergeCells count="1">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
  <sheetViews>
    <sheetView workbookViewId="0">
      <pane ySplit="3" topLeftCell="A4" activePane="bottomLeft" state="frozen"/>
      <selection pane="bottomLeft" activeCell="C11" sqref="C11"/>
    </sheetView>
  </sheetViews>
  <sheetFormatPr baseColWidth="8" defaultRowHeight="14.5"/>
  <cols>
    <col width="6" customWidth="1" style="23" min="1" max="1"/>
    <col width="16" customWidth="1" style="23" min="2" max="2"/>
    <col width="76" customWidth="1" style="23" min="3" max="3"/>
    <col width="14" customWidth="1" style="23" min="4" max="4"/>
    <col width="10" customWidth="1" style="23" min="5" max="5"/>
    <col width="12" customWidth="1" style="23" min="6" max="6"/>
    <col width="70" customWidth="1" style="23" min="7" max="7"/>
    <col width="14" customWidth="1" style="23" min="8" max="8"/>
    <col width="12" customWidth="1" style="23" min="9" max="9"/>
  </cols>
  <sheetData>
    <row r="1">
      <c r="A1" s="39" t="inlineStr">
        <is>
          <t>SIMULATED EXAMPLE. Illustrative test format, not real user data. No V2 has been built or tested. Rows marked "Code check" come from reading the V1 source code.</t>
        </is>
      </c>
    </row>
    <row r="3" ht="26" customHeight="1" s="23">
      <c r="A3" s="15" t="inlineStr">
        <is>
          <t>ID</t>
        </is>
      </c>
      <c r="B3" s="15" t="inlineStr">
        <is>
          <t>Journey stage</t>
        </is>
      </c>
      <c r="C3" s="15" t="inlineStr">
        <is>
          <t>Learning from the V2 round</t>
        </is>
      </c>
      <c r="D3" s="15" t="inlineStr">
        <is>
          <t>Evidence</t>
        </is>
      </c>
      <c r="E3" s="15" t="inlineStr">
        <is>
          <t>Severity</t>
        </is>
      </c>
      <c r="F3" s="15" t="inlineStr">
        <is>
          <t>Priority (1 = first)</t>
        </is>
      </c>
      <c r="G3" s="15" t="inlineStr">
        <is>
          <t>Change for the next iteration</t>
        </is>
      </c>
      <c r="H3" s="15" t="inlineStr">
        <is>
          <t>Owner</t>
        </is>
      </c>
      <c r="I3" s="34" t="inlineStr">
        <is>
          <t>Basis</t>
        </is>
      </c>
    </row>
    <row r="4" ht="25" customHeight="1" s="23">
      <c r="A4" s="16" t="inlineStr">
        <is>
          <t>N1</t>
        </is>
      </c>
      <c r="B4" s="16" t="inlineStr">
        <is>
          <t>Recognition</t>
        </is>
      </c>
      <c r="C4" s="16" t="inlineStr">
        <is>
          <t>Two near-identical photos from different scenarios (Goa sunset) led to a confident wrong pick; a place filter does not help when every candidate shares the place.</t>
        </is>
      </c>
      <c r="D4" s="16" t="inlineStr">
        <is>
          <t>S12</t>
        </is>
      </c>
      <c r="E4" s="16" t="inlineStr">
        <is>
          <t>High</t>
        </is>
      </c>
      <c r="F4" s="16" t="n">
        <v>1</v>
      </c>
      <c r="G4" s="16" t="inlineStr">
        <is>
          <t>Show why a photo matched and what differs between similar candidates; ask "is this the one?" before ending; offer the differences (people, objects) as filters.</t>
        </is>
      </c>
      <c r="H4" s="16" t="inlineStr">
        <is>
          <t>Product + ML</t>
        </is>
      </c>
      <c r="I4" s="37" t="inlineStr">
        <is>
          <t>Simulated</t>
        </is>
      </c>
    </row>
    <row r="5">
      <c r="A5" s="16" t="inlineStr">
        <is>
          <t>N2</t>
        </is>
      </c>
      <c r="B5" s="16" t="inlineStr">
        <is>
          <t>Express</t>
        </is>
      </c>
      <c r="C5" s="16" t="inlineStr">
        <is>
          <t>LLM clue reading with soft signals fixed the V1 failures (friends, parents, Lonavala).</t>
        </is>
      </c>
      <c r="D5" s="16" t="inlineStr">
        <is>
          <t>S8, S10, S11</t>
        </is>
      </c>
      <c r="E5" s="16" t="inlineStr">
        <is>
          <t>Info</t>
        </is>
      </c>
      <c r="F5" s="16" t="n">
        <v>4</v>
      </c>
      <c r="G5" s="16" t="inlineStr">
        <is>
          <t>Keep; test on phrasing that is harder than these six scenarios.</t>
        </is>
      </c>
      <c r="H5" s="16" t="inlineStr">
        <is>
          <t>ML</t>
        </is>
      </c>
      <c r="I5" s="37" t="inlineStr">
        <is>
          <t>Simulated</t>
        </is>
      </c>
    </row>
    <row r="6" ht="25" customHeight="1" s="23">
      <c r="A6" s="16" t="inlineStr">
        <is>
          <t>N3</t>
        </is>
      </c>
      <c r="B6" s="16" t="inlineStr">
        <is>
          <t>Recover</t>
        </is>
      </c>
      <c r="C6" s="16" t="inlineStr">
        <is>
          <t>Ranked recovery was used twice and helped once; the sample is too small to say it beats the V1 list.</t>
        </is>
      </c>
      <c r="D6" s="16" t="inlineStr">
        <is>
          <t>S11, S12</t>
        </is>
      </c>
      <c r="E6" s="16" t="inlineStr">
        <is>
          <t>Medium</t>
        </is>
      </c>
      <c r="F6" s="16" t="n">
        <v>2</v>
      </c>
      <c r="G6" s="16" t="inlineStr">
        <is>
          <t>Run more sessions that reach recovery before changing it again.</t>
        </is>
      </c>
      <c r="H6" s="16" t="inlineStr">
        <is>
          <t>Research</t>
        </is>
      </c>
      <c r="I6" s="37" t="inlineStr">
        <is>
          <t>Simulated</t>
        </is>
      </c>
    </row>
    <row r="7" ht="25" customHeight="1" s="23">
      <c r="A7" s="16" t="inlineStr">
        <is>
          <t>N4</t>
        </is>
      </c>
      <c r="B7" s="16" t="inlineStr">
        <is>
          <t>Recognition</t>
        </is>
      </c>
      <c r="C7" s="16" t="inlineStr">
        <is>
          <t>Filter chips helped when they split the set (time of day in S11) and did nothing when they did not (place in S12).</t>
        </is>
      </c>
      <c r="D7" s="16" t="inlineStr">
        <is>
          <t>S11, S12</t>
        </is>
      </c>
      <c r="E7" s="16" t="inlineStr">
        <is>
          <t>Medium</t>
        </is>
      </c>
      <c r="F7" s="16" t="n">
        <v>3</v>
      </c>
      <c r="G7" s="16" t="inlineStr">
        <is>
          <t>Show only filters that split the current set, ranked by how well they split it.</t>
        </is>
      </c>
      <c r="H7" s="16" t="inlineStr">
        <is>
          <t>Design + Eng</t>
        </is>
      </c>
      <c r="I7" s="37" t="inlineStr">
        <is>
          <t>Simulated</t>
        </is>
      </c>
    </row>
    <row r="8">
      <c r="A8" s="16" t="inlineStr">
        <is>
          <t>N5</t>
        </is>
      </c>
      <c r="B8" s="16" t="inlineStr">
        <is>
          <t>Measurement</t>
        </is>
      </c>
      <c r="C8" s="16" t="inlineStr">
        <is>
          <t>In-app logging replaced hand timing, so time and inspections are now recorded per session.</t>
        </is>
      </c>
      <c r="D8" s="16" t="inlineStr">
        <is>
          <t>All V2</t>
        </is>
      </c>
      <c r="E8" s="16" t="inlineStr">
        <is>
          <t>Info</t>
        </is>
      </c>
      <c r="F8" s="16" t="n">
        <v>5</v>
      </c>
      <c r="G8" s="16" t="inlineStr">
        <is>
          <t>Keep; add the intended photo ID so success is checked automatically.</t>
        </is>
      </c>
      <c r="H8" s="16" t="inlineStr">
        <is>
          <t>Eng</t>
        </is>
      </c>
      <c r="I8" s="37" t="inlineStr">
        <is>
          <t>Simulated</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2026-09-25T14:48:10Z</dcterms:created>
  <dcterms:modified xmlns:dcterms="http://purl.org/dc/terms/" xmlns:xsi="http://www.w3.org/2001/XMLSchema-instance" xsi:type="dcterms:W3CDTF">2026-09-26T05:50:22Z</dcterms:modified>
  <cp:lastModifiedBy>ADMIN</cp:lastModifiedBy>
</cp:coreProperties>
</file>